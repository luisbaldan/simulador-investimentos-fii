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-2700" yWindow="340" windowWidth="21060" windowHeight="10090"/>
  </bookViews>
  <sheets>
    <sheet name="Rosto" sheetId="1" r:id="rId1"/>
    <sheet name="Perfil do Investidor" sheetId="2" r:id="rId2"/>
    <sheet name="Objetivo do Investimento" sheetId="3" r:id="rId3"/>
    <sheet name="Premissas da Simulação" sheetId="5" r:id="rId4"/>
    <sheet name="Carteira sugerida" sheetId="6" r:id="rId5"/>
    <sheet name="Simulação" sheetId="7" r:id="rId6"/>
    <sheet name="Resultado" sheetId="8" r:id="rId7"/>
    <sheet name="Imprimir" sheetId="9" r:id="rId8"/>
    <sheet name="Variáveis" sheetId="4" r:id="rId9"/>
  </sheets>
  <definedNames>
    <definedName name="_xlnm.Print_Area" localSheetId="7">Imprimir!$B$2:$H$43</definedName>
  </definedNames>
  <calcPr calcId="145621"/>
</workbook>
</file>

<file path=xl/calcChain.xml><?xml version="1.0" encoding="utf-8"?>
<calcChain xmlns="http://schemas.openxmlformats.org/spreadsheetml/2006/main">
  <c r="C34" i="9" l="1"/>
  <c r="C12" i="9"/>
  <c r="C8" i="9"/>
  <c r="E16" i="7"/>
  <c r="E7" i="7"/>
  <c r="C13" i="9" s="1"/>
  <c r="E10" i="7"/>
  <c r="E9" i="7"/>
  <c r="E8" i="7"/>
  <c r="C14" i="9" s="1"/>
  <c r="E6" i="7"/>
  <c r="D10" i="3"/>
  <c r="AD10" i="2"/>
  <c r="AD9" i="2"/>
  <c r="AD8" i="2"/>
  <c r="AD7" i="2"/>
  <c r="AD6" i="2"/>
  <c r="AD5" i="2"/>
  <c r="AD4" i="2"/>
  <c r="AD3" i="2"/>
  <c r="E13" i="7" l="1"/>
  <c r="C31" i="9" s="1"/>
  <c r="AD11" i="2"/>
  <c r="I5" i="2" s="1"/>
  <c r="C7" i="9" s="1"/>
  <c r="B2" i="3" l="1"/>
  <c r="B2" i="5" s="1"/>
  <c r="E10" i="8"/>
  <c r="B2" i="6" l="1"/>
  <c r="D11" i="6" s="1"/>
  <c r="C25" i="9" s="1"/>
  <c r="D5" i="8"/>
  <c r="D8" i="6"/>
  <c r="C22" i="9" s="1"/>
  <c r="G11" i="5"/>
  <c r="C16" i="9" s="1"/>
  <c r="G8" i="5"/>
  <c r="D7" i="6" l="1"/>
  <c r="C21" i="9" s="1"/>
  <c r="D6" i="6"/>
  <c r="C20" i="9" s="1"/>
  <c r="D9" i="6"/>
  <c r="C23" i="9" s="1"/>
  <c r="D10" i="6"/>
  <c r="C24" i="9" s="1"/>
  <c r="C15" i="9"/>
  <c r="E12" i="7"/>
  <c r="E9" i="8" s="1"/>
  <c r="D12" i="6" l="1"/>
  <c r="C26" i="9" s="1"/>
  <c r="C30" i="9"/>
  <c r="E15" i="7"/>
  <c r="E14" i="7"/>
  <c r="C32" i="9" l="1"/>
  <c r="E11" i="8"/>
  <c r="C33" i="9"/>
  <c r="E12" i="8"/>
  <c r="E13" i="8" l="1"/>
  <c r="E17" i="7"/>
  <c r="E14" i="8" l="1"/>
  <c r="C35" i="9"/>
  <c r="B39" i="9" s="1"/>
</calcChain>
</file>

<file path=xl/sharedStrings.xml><?xml version="1.0" encoding="utf-8"?>
<sst xmlns="http://schemas.openxmlformats.org/spreadsheetml/2006/main" count="182" uniqueCount="127">
  <si>
    <t>Vamos ajudá-lo a construir uma estratégia de investimento de acordo com seu perfil e seus objetivos.</t>
  </si>
  <si>
    <t>CLIQUE AQUI PARA COMEÇAR</t>
  </si>
  <si>
    <t>Qual é o seu perfil de investidor?</t>
  </si>
  <si>
    <t>Pergunta 1 — Por quanto tempo pretende manter seus investimentos?</t>
  </si>
  <si>
    <t>Pergunta 2 — Como você se sentiria se seu investimento perdesse 10% de valor temporariamente?</t>
  </si>
  <si>
    <t>Pergunta 3 — Qual destas opções melhor descreve sua prioridade?</t>
  </si>
  <si>
    <t>Pergunta 4 — Se existissem duas alternativas de investimento:</t>
  </si>
  <si>
    <t>Pergunta 5 — Como você reagiria a uma queda do mercado?</t>
  </si>
  <si>
    <t>Pergunta 6 — Qual é sua experiência com investimentos?</t>
  </si>
  <si>
    <t>Pergunta 7 — Qual é a importância de receber uma renda periódica dos seus investimentos?</t>
  </si>
  <si>
    <t>Pergunta 8 — Se um investimento apresentar maior potencial de retorno, mas também maior risco, você:</t>
  </si>
  <si>
    <t>VAMOS DESCUBRIR O SEU PERFIL DE INVESTIDOR</t>
  </si>
  <si>
    <t>O objetivo é identificar o nível de risco que você está disposto a assumir em seus investimentos.</t>
  </si>
  <si>
    <t>A</t>
  </si>
  <si>
    <t>B</t>
  </si>
  <si>
    <t>C</t>
  </si>
  <si>
    <t>Resposta</t>
  </si>
  <si>
    <t>Pontos</t>
  </si>
  <si>
    <t>ESCOLHA</t>
  </si>
  <si>
    <t>Escolha uma alternativa às perguntas abaixo. Não existem respostas certas ou erradas.</t>
  </si>
  <si>
    <t>INSTRUÇÃO</t>
  </si>
  <si>
    <t>Escolha a melhor alternativa que representa seu pensamento, clique na celula ESCOLHA, vai aparecer flexinha e escolha sua opção.</t>
  </si>
  <si>
    <r>
      <t>A.</t>
    </r>
    <r>
      <rPr>
        <sz val="11"/>
        <color theme="1"/>
        <rFont val="Calibri"/>
        <family val="2"/>
        <scheme val="minor"/>
      </rPr>
      <t xml:space="preserve"> Ficaria muito preocupado e provavelmente venderia.</t>
    </r>
  </si>
  <si>
    <r>
      <t>B.</t>
    </r>
    <r>
      <rPr>
        <sz val="11"/>
        <color theme="1"/>
        <rFont val="Calibri"/>
        <family val="2"/>
        <scheme val="minor"/>
      </rPr>
      <t xml:space="preserve"> Ficaria preocupado, mas aguardaria a recuperação.</t>
    </r>
  </si>
  <si>
    <r>
      <t>C.</t>
    </r>
    <r>
      <rPr>
        <sz val="11"/>
        <color theme="1"/>
        <rFont val="Calibri"/>
        <family val="2"/>
        <scheme val="minor"/>
      </rPr>
      <t xml:space="preserve"> Aceitaria a queda e manteria o investimento.</t>
    </r>
  </si>
  <si>
    <r>
      <t>A.</t>
    </r>
    <r>
      <rPr>
        <sz val="11"/>
        <color theme="1"/>
        <rFont val="Calibri"/>
        <family val="2"/>
        <scheme val="minor"/>
      </rPr>
      <t xml:space="preserve"> Menos de 2 anos</t>
    </r>
  </si>
  <si>
    <r>
      <t>B.</t>
    </r>
    <r>
      <rPr>
        <sz val="11"/>
        <color theme="1"/>
        <rFont val="Calibri"/>
        <family val="2"/>
        <scheme val="minor"/>
      </rPr>
      <t xml:space="preserve"> Entre 2 e 5 anos</t>
    </r>
  </si>
  <si>
    <r>
      <t>C.</t>
    </r>
    <r>
      <rPr>
        <sz val="11"/>
        <color theme="1"/>
        <rFont val="Calibri"/>
        <family val="2"/>
        <scheme val="minor"/>
      </rPr>
      <t xml:space="preserve"> Mais de 5 anos</t>
    </r>
  </si>
  <si>
    <r>
      <t>A.</t>
    </r>
    <r>
      <rPr>
        <sz val="11"/>
        <color theme="1"/>
        <rFont val="Calibri"/>
        <family val="2"/>
        <scheme val="minor"/>
      </rPr>
      <t xml:space="preserve"> Preservar meu patrimônio.</t>
    </r>
  </si>
  <si>
    <r>
      <t>B.</t>
    </r>
    <r>
      <rPr>
        <sz val="11"/>
        <color theme="1"/>
        <rFont val="Calibri"/>
        <family val="2"/>
        <scheme val="minor"/>
      </rPr>
      <t xml:space="preserve"> Equilibrar segurança e crescimento.</t>
    </r>
  </si>
  <si>
    <r>
      <t>C.</t>
    </r>
    <r>
      <rPr>
        <sz val="11"/>
        <color theme="1"/>
        <rFont val="Calibri"/>
        <family val="2"/>
        <scheme val="minor"/>
      </rPr>
      <t xml:space="preserve"> Buscar maior crescimento, mesmo assumindo mais riscos.</t>
    </r>
  </si>
  <si>
    <r>
      <t>A.</t>
    </r>
    <r>
      <rPr>
        <sz val="11"/>
        <color theme="1"/>
        <rFont val="Calibri"/>
        <family val="2"/>
        <scheme val="minor"/>
      </rPr>
      <t xml:space="preserve"> Retorno menor, mas maior previsibilidade.</t>
    </r>
  </si>
  <si>
    <r>
      <t>B.</t>
    </r>
    <r>
      <rPr>
        <sz val="11"/>
        <color theme="1"/>
        <rFont val="Calibri"/>
        <family val="2"/>
        <scheme val="minor"/>
      </rPr>
      <t xml:space="preserve"> Retorno intermediário e risco intermediário.</t>
    </r>
  </si>
  <si>
    <r>
      <t>C.</t>
    </r>
    <r>
      <rPr>
        <sz val="11"/>
        <color theme="1"/>
        <rFont val="Calibri"/>
        <family val="2"/>
        <scheme val="minor"/>
      </rPr>
      <t xml:space="preserve"> Maior potencial de retorno, mas com maior oscilação.</t>
    </r>
  </si>
  <si>
    <r>
      <t>A.</t>
    </r>
    <r>
      <rPr>
        <sz val="11"/>
        <color theme="1"/>
        <rFont val="Calibri"/>
        <family val="2"/>
        <scheme val="minor"/>
      </rPr>
      <t xml:space="preserve"> Venderia para evitar perdas maiores.</t>
    </r>
  </si>
  <si>
    <r>
      <t>B.</t>
    </r>
    <r>
      <rPr>
        <sz val="11"/>
        <color theme="1"/>
        <rFont val="Calibri"/>
        <family val="2"/>
        <scheme val="minor"/>
      </rPr>
      <t xml:space="preserve"> Manteria os investimentos e aguardaria.</t>
    </r>
  </si>
  <si>
    <r>
      <t>C.</t>
    </r>
    <r>
      <rPr>
        <sz val="11"/>
        <color theme="1"/>
        <rFont val="Calibri"/>
        <family val="2"/>
        <scheme val="minor"/>
      </rPr>
      <t xml:space="preserve"> Consideraria a queda uma oportunidade para investir mais.</t>
    </r>
  </si>
  <si>
    <r>
      <t>A.</t>
    </r>
    <r>
      <rPr>
        <sz val="11"/>
        <color theme="1"/>
        <rFont val="Calibri"/>
        <family val="2"/>
        <scheme val="minor"/>
      </rPr>
      <t xml:space="preserve"> Pouca ou nenhuma.</t>
    </r>
  </si>
  <si>
    <r>
      <t>B.</t>
    </r>
    <r>
      <rPr>
        <sz val="11"/>
        <color theme="1"/>
        <rFont val="Calibri"/>
        <family val="2"/>
        <scheme val="minor"/>
      </rPr>
      <t xml:space="preserve"> Tenho alguma experiência.</t>
    </r>
  </si>
  <si>
    <r>
      <t>C.</t>
    </r>
    <r>
      <rPr>
        <sz val="11"/>
        <color theme="1"/>
        <rFont val="Calibri"/>
        <family val="2"/>
        <scheme val="minor"/>
      </rPr>
      <t xml:space="preserve"> Tenho bastante experiência e acompanho meus investimentos.</t>
    </r>
  </si>
  <si>
    <r>
      <t>A.</t>
    </r>
    <r>
      <rPr>
        <sz val="11"/>
        <color theme="1"/>
        <rFont val="Calibri"/>
        <family val="2"/>
        <scheme val="minor"/>
      </rPr>
      <t xml:space="preserve"> É muito importante para mim.</t>
    </r>
  </si>
  <si>
    <r>
      <t>B.</t>
    </r>
    <r>
      <rPr>
        <sz val="11"/>
        <color theme="1"/>
        <rFont val="Calibri"/>
        <family val="2"/>
        <scheme val="minor"/>
      </rPr>
      <t xml:space="preserve"> É importante, mas também quero crescimento do patrimônio.</t>
    </r>
  </si>
  <si>
    <r>
      <t>C.</t>
    </r>
    <r>
      <rPr>
        <sz val="11"/>
        <color theme="1"/>
        <rFont val="Calibri"/>
        <family val="2"/>
        <scheme val="minor"/>
      </rPr>
      <t xml:space="preserve"> Minha prioridade é crescimento do patrimônio.</t>
    </r>
  </si>
  <si>
    <r>
      <t>A.</t>
    </r>
    <r>
      <rPr>
        <sz val="11"/>
        <color theme="1"/>
        <rFont val="Calibri"/>
        <family val="2"/>
        <scheme val="minor"/>
      </rPr>
      <t xml:space="preserve"> Prefiro evitar.</t>
    </r>
  </si>
  <si>
    <r>
      <t>B.</t>
    </r>
    <r>
      <rPr>
        <sz val="11"/>
        <color theme="1"/>
        <rFont val="Calibri"/>
        <family val="2"/>
        <scheme val="minor"/>
      </rPr>
      <t xml:space="preserve"> Aceito uma parcela desse risco.</t>
    </r>
  </si>
  <si>
    <r>
      <t>C.</t>
    </r>
    <r>
      <rPr>
        <sz val="11"/>
        <color theme="1"/>
        <rFont val="Calibri"/>
        <family val="2"/>
        <scheme val="minor"/>
      </rPr>
      <t xml:space="preserve"> Estou disposto a assumir esse risco.</t>
    </r>
  </si>
  <si>
    <t>TOTAL</t>
  </si>
  <si>
    <t>SIMULADOR DE INVESTIMENTOS em Fundos Imobiliários</t>
  </si>
  <si>
    <t>CONTINUAR</t>
  </si>
  <si>
    <t>Tipo de FII</t>
  </si>
  <si>
    <t>Conservador</t>
  </si>
  <si>
    <t>Moderado</t>
  </si>
  <si>
    <t>Agressivo</t>
  </si>
  <si>
    <t>Papel</t>
  </si>
  <si>
    <t>Tijolo</t>
  </si>
  <si>
    <t>Híbridos</t>
  </si>
  <si>
    <t>FOFs</t>
  </si>
  <si>
    <t>Desenvolvimento</t>
  </si>
  <si>
    <t>Hotelaria</t>
  </si>
  <si>
    <t>QUAL É O SEU OBJETIVO DE INVESTIMENTO?</t>
  </si>
  <si>
    <t>Para que possamos construir uma simulação adequada, conte-nos o que você pretende alcançar com seus investimentos.</t>
  </si>
  <si>
    <t>Formar patrimônio</t>
  </si>
  <si>
    <t>Gerar renda mensal</t>
  </si>
  <si>
    <t>Complementar minha renda futura</t>
  </si>
  <si>
    <t>Alcançar um patrimônio específico</t>
  </si>
  <si>
    <t>Escolha a alternativa</t>
  </si>
  <si>
    <t>1) Escolha o objetivo que melhor representa o que você deseja alcançar com seus investimentos.</t>
  </si>
  <si>
    <t>2) O que você pretende fazer com os rendimentos recebidos?</t>
  </si>
  <si>
    <t>Reenvistir 100%</t>
  </si>
  <si>
    <t>Reinvestir parte</t>
  </si>
  <si>
    <t>Utilizar os rendimentos</t>
  </si>
  <si>
    <t>3) Quanto você pretende investir inicialmente?</t>
  </si>
  <si>
    <t>Informe o Valor</t>
  </si>
  <si>
    <t>4) Quanto você pretende investir todos os meses?</t>
  </si>
  <si>
    <t>5) Por quanto tempo pretende manter os investimentos?</t>
  </si>
  <si>
    <t>2 anos</t>
  </si>
  <si>
    <t>5 anos</t>
  </si>
  <si>
    <t>10 anos</t>
  </si>
  <si>
    <t>15 anos</t>
  </si>
  <si>
    <t>20 anos</t>
  </si>
  <si>
    <t>30 anos</t>
  </si>
  <si>
    <t>Outro prazo</t>
  </si>
  <si>
    <t>PREMISSAS DA SIMULAÇÃO</t>
  </si>
  <si>
    <t>Rentabilidade mensal estimada:</t>
  </si>
  <si>
    <t>Dividend Yield mensal estimado:</t>
  </si>
  <si>
    <t>PERFIL</t>
  </si>
  <si>
    <t>RENTABILIDADE MENSAL</t>
  </si>
  <si>
    <t>DY MENSAL</t>
  </si>
  <si>
    <t>As taxas utilizadas são premissas para simulação e não representam garantia ou recomendação de investimento.</t>
  </si>
  <si>
    <t>SUA CARTEIRA SUGERIDA</t>
  </si>
  <si>
    <t>Participação</t>
  </si>
  <si>
    <t>PAPEL</t>
  </si>
  <si>
    <t>TIJOLO</t>
  </si>
  <si>
    <t>HÍBRIDOS</t>
  </si>
  <si>
    <t>DESENVOLVIMENTO</t>
  </si>
  <si>
    <t>HOTELARIA</t>
  </si>
  <si>
    <t>SIMULAÇÃO DO SEU INVESTIMENTO</t>
  </si>
  <si>
    <t>Com base nas informações que você forneceu, vamos projetar a evolução do seu investimento.</t>
  </si>
  <si>
    <t>Informação</t>
  </si>
  <si>
    <t>Investimento inicial</t>
  </si>
  <si>
    <t>Aporte mensal</t>
  </si>
  <si>
    <t>Prazo do investimento</t>
  </si>
  <si>
    <t>Objetivo</t>
  </si>
  <si>
    <t>Meta financeira</t>
  </si>
  <si>
    <t>Patrimônio acumulado ao final do período</t>
  </si>
  <si>
    <t>Total investido</t>
  </si>
  <si>
    <t>Rendimentos acumulados</t>
  </si>
  <si>
    <t>Dividendos mensais</t>
  </si>
  <si>
    <t>Meta de renda mensal</t>
  </si>
  <si>
    <t>Meta de renda atingida?</t>
  </si>
  <si>
    <t>Veja o potencial do seu investimento ao longo do período escolhido.</t>
  </si>
  <si>
    <t>Patrimônio projetado</t>
  </si>
  <si>
    <t xml:space="preserve"> RESULTADO DA SUA SIMULAÇÃO</t>
  </si>
  <si>
    <t>Voltar para o inicio</t>
  </si>
  <si>
    <t>Voltar para página anterior</t>
  </si>
  <si>
    <t>RELATÓRIO DA SIMULAÇÃO DE INVESTIMENTO</t>
  </si>
  <si>
    <t>Resumo da simulação</t>
  </si>
  <si>
    <t>Perfil do investidor</t>
  </si>
  <si>
    <t>Prazo</t>
  </si>
  <si>
    <t>Rentabilidade mensal estimada</t>
  </si>
  <si>
    <t>DY mensal estimado</t>
  </si>
  <si>
    <t>CONCLUSÃO DA SIMULAÇÃO</t>
  </si>
  <si>
    <r>
      <t>Observação:</t>
    </r>
    <r>
      <rPr>
        <sz val="14"/>
        <color theme="1"/>
        <rFont val="Calibri"/>
        <family val="2"/>
        <scheme val="minor"/>
      </rPr>
      <t xml:space="preserve"> Esta simulação tem caráter exclusivamente educacional.                        Os resultados são projeções baseadas nas premissas utilizadas e não representam garantia de rentabilidade futura.</t>
    </r>
  </si>
  <si>
    <t>Imprimir</t>
  </si>
  <si>
    <t>Voltar para Resultado</t>
  </si>
  <si>
    <r>
      <t xml:space="preserve">🖨️ </t>
    </r>
    <r>
      <rPr>
        <b/>
        <sz val="11"/>
        <color theme="1"/>
        <rFont val="Calibri"/>
        <family val="2"/>
        <scheme val="minor"/>
      </rPr>
      <t>IMPRIMIR / GERAR PDF</t>
    </r>
  </si>
  <si>
    <t>“Para gerar o PDF: Ctrl + P → Microsoft Print to PDF → Imprimir.”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</si>
</sst>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8" formatCode="&quot;R$&quot;\ #,##0.00;[Red]\-&quot;R$&quot;\ #,##0.00"/>
    <numFmt numFmtId="168" formatCode="_-[$R$-416]\ * #,##0.00_-;\-[$R$-416]\ * #,##0.00_-;_-[$R$-416]\ * &quot;-&quot;??_-;_-@_-"/>
  </numFmts>
  <fonts count="1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26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u/>
      <sz val="14"/>
      <color theme="10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10" fillId="0" borderId="0" applyNumberFormat="0" applyFill="0" applyBorder="0" applyAlignment="0" applyProtection="0"/>
  </cellStyleXfs>
  <cellXfs count="95">
    <xf numFmtId="0" fontId="0" fillId="0" borderId="0" xfId="0"/>
    <xf numFmtId="0" fontId="0" fillId="5" borderId="0" xfId="0" applyFill="1"/>
    <xf numFmtId="0" fontId="6" fillId="5" borderId="0" xfId="0" applyFont="1" applyFill="1" applyAlignment="1">
      <alignment horizontal="center" vertical="center" wrapText="1"/>
    </xf>
    <xf numFmtId="0" fontId="2" fillId="5" borderId="0" xfId="0" applyFont="1" applyFill="1"/>
    <xf numFmtId="0" fontId="7" fillId="5" borderId="0" xfId="0" applyFont="1" applyFill="1"/>
    <xf numFmtId="0" fontId="8" fillId="5" borderId="0" xfId="0" applyFont="1" applyFill="1"/>
    <xf numFmtId="0" fontId="9" fillId="5" borderId="0" xfId="0" applyFont="1" applyFill="1" applyAlignment="1">
      <alignment horizontal="center"/>
    </xf>
    <xf numFmtId="0" fontId="0" fillId="5" borderId="0" xfId="0" applyFill="1" applyAlignment="1">
      <alignment horizontal="center"/>
    </xf>
    <xf numFmtId="0" fontId="0" fillId="5" borderId="0" xfId="0" applyFill="1" applyAlignment="1">
      <alignment horizontal="center" vertical="center"/>
    </xf>
    <xf numFmtId="0" fontId="9" fillId="5" borderId="0" xfId="0" applyFont="1" applyFill="1" applyAlignment="1"/>
    <xf numFmtId="0" fontId="2" fillId="0" borderId="0" xfId="0" applyFont="1"/>
    <xf numFmtId="0" fontId="0" fillId="10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5" borderId="0" xfId="0" applyFont="1" applyFill="1" applyAlignment="1">
      <alignment horizontal="right"/>
    </xf>
    <xf numFmtId="0" fontId="11" fillId="4" borderId="0" xfId="0" applyFont="1" applyFill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2" fillId="0" borderId="0" xfId="0" applyFont="1" applyAlignment="1">
      <alignment horizontal="right" vertical="center" wrapText="1"/>
    </xf>
    <xf numFmtId="0" fontId="0" fillId="0" borderId="0" xfId="0" applyAlignment="1">
      <alignment vertical="center" wrapText="1"/>
    </xf>
    <xf numFmtId="0" fontId="2" fillId="0" borderId="0" xfId="0" applyFont="1" applyAlignment="1">
      <alignment vertical="center" wrapText="1"/>
    </xf>
    <xf numFmtId="0" fontId="0" fillId="10" borderId="0" xfId="0" applyFill="1"/>
    <xf numFmtId="0" fontId="0" fillId="5" borderId="0" xfId="0" applyFill="1" applyAlignment="1">
      <alignment horizontal="left" vertical="center" indent="1"/>
    </xf>
    <xf numFmtId="0" fontId="8" fillId="0" borderId="0" xfId="0" applyFont="1"/>
    <xf numFmtId="0" fontId="7" fillId="5" borderId="0" xfId="0" applyFont="1" applyFill="1" applyAlignment="1">
      <alignment horizontal="center" vertical="center"/>
    </xf>
    <xf numFmtId="0" fontId="7" fillId="6" borderId="0" xfId="0" applyFont="1" applyFill="1" applyAlignment="1">
      <alignment horizontal="center" vertical="center"/>
    </xf>
    <xf numFmtId="0" fontId="6" fillId="3" borderId="10" xfId="0" applyFont="1" applyFill="1" applyBorder="1" applyAlignment="1">
      <alignment horizontal="center"/>
    </xf>
    <xf numFmtId="0" fontId="6" fillId="3" borderId="11" xfId="0" applyFont="1" applyFill="1" applyBorder="1" applyAlignment="1">
      <alignment horizontal="center"/>
    </xf>
    <xf numFmtId="0" fontId="6" fillId="3" borderId="12" xfId="0" applyFont="1" applyFill="1" applyBorder="1" applyAlignment="1">
      <alignment horizontal="center"/>
    </xf>
    <xf numFmtId="10" fontId="0" fillId="0" borderId="0" xfId="0" applyNumberFormat="1" applyAlignment="1">
      <alignment horizontal="center" vertical="center" wrapText="1"/>
    </xf>
    <xf numFmtId="0" fontId="8" fillId="0" borderId="0" xfId="0" applyFont="1" applyAlignment="1">
      <alignment horizontal="left"/>
    </xf>
    <xf numFmtId="0" fontId="9" fillId="0" borderId="0" xfId="0" applyFont="1"/>
    <xf numFmtId="10" fontId="8" fillId="5" borderId="0" xfId="1" applyNumberFormat="1" applyFont="1" applyFill="1" applyAlignment="1">
      <alignment horizontal="center" vertical="center"/>
    </xf>
    <xf numFmtId="9" fontId="0" fillId="0" borderId="0" xfId="0" applyNumberFormat="1" applyAlignment="1">
      <alignment horizontal="center" vertical="center" wrapText="1"/>
    </xf>
    <xf numFmtId="9" fontId="2" fillId="0" borderId="0" xfId="0" applyNumberFormat="1" applyFont="1" applyAlignment="1">
      <alignment horizontal="center" vertical="center" wrapText="1"/>
    </xf>
    <xf numFmtId="0" fontId="9" fillId="5" borderId="0" xfId="0" applyFont="1" applyFill="1" applyAlignment="1">
      <alignment horizontal="center" vertical="center" wrapText="1"/>
    </xf>
    <xf numFmtId="0" fontId="5" fillId="5" borderId="0" xfId="0" applyFont="1" applyFill="1" applyAlignment="1">
      <alignment vertical="center" wrapText="1"/>
    </xf>
    <xf numFmtId="9" fontId="5" fillId="5" borderId="0" xfId="0" applyNumberFormat="1" applyFont="1" applyFill="1" applyAlignment="1">
      <alignment horizontal="center" vertical="center" wrapText="1"/>
    </xf>
    <xf numFmtId="0" fontId="9" fillId="5" borderId="0" xfId="0" applyFont="1" applyFill="1" applyAlignment="1">
      <alignment vertical="center" wrapText="1"/>
    </xf>
    <xf numFmtId="9" fontId="9" fillId="5" borderId="0" xfId="0" applyNumberFormat="1" applyFont="1" applyFill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5" fillId="5" borderId="0" xfId="0" applyFont="1" applyFill="1"/>
    <xf numFmtId="8" fontId="0" fillId="5" borderId="0" xfId="0" applyNumberFormat="1" applyFill="1"/>
    <xf numFmtId="8" fontId="0" fillId="5" borderId="0" xfId="0" applyNumberFormat="1" applyFill="1" applyAlignment="1">
      <alignment horizontal="center"/>
    </xf>
    <xf numFmtId="8" fontId="8" fillId="8" borderId="0" xfId="0" applyNumberFormat="1" applyFont="1" applyFill="1" applyAlignment="1">
      <alignment horizontal="center" vertical="center"/>
    </xf>
    <xf numFmtId="0" fontId="9" fillId="10" borderId="0" xfId="0" applyFont="1" applyFill="1" applyAlignment="1">
      <alignment horizontal="left" vertical="center"/>
    </xf>
    <xf numFmtId="0" fontId="9" fillId="10" borderId="0" xfId="0" applyFont="1" applyFill="1" applyAlignment="1">
      <alignment horizontal="center" vertical="center"/>
    </xf>
    <xf numFmtId="8" fontId="3" fillId="0" borderId="0" xfId="0" applyNumberFormat="1" applyFont="1" applyFill="1" applyAlignment="1">
      <alignment horizontal="center" vertical="center"/>
    </xf>
    <xf numFmtId="0" fontId="6" fillId="3" borderId="10" xfId="0" applyFont="1" applyFill="1" applyBorder="1" applyAlignment="1">
      <alignment horizontal="center" vertical="center"/>
    </xf>
    <xf numFmtId="0" fontId="6" fillId="3" borderId="11" xfId="0" applyFont="1" applyFill="1" applyBorder="1" applyAlignment="1">
      <alignment horizontal="center" vertical="center"/>
    </xf>
    <xf numFmtId="0" fontId="6" fillId="3" borderId="12" xfId="0" applyFont="1" applyFill="1" applyBorder="1" applyAlignment="1">
      <alignment horizontal="center" vertical="center"/>
    </xf>
    <xf numFmtId="0" fontId="14" fillId="9" borderId="10" xfId="0" applyFont="1" applyFill="1" applyBorder="1" applyAlignment="1">
      <alignment horizontal="center" vertical="center"/>
    </xf>
    <xf numFmtId="0" fontId="14" fillId="9" borderId="11" xfId="0" applyFont="1" applyFill="1" applyBorder="1" applyAlignment="1">
      <alignment horizontal="center" vertical="center"/>
    </xf>
    <xf numFmtId="0" fontId="14" fillId="9" borderId="12" xfId="0" applyFont="1" applyFill="1" applyBorder="1" applyAlignment="1">
      <alignment horizontal="center" vertical="center"/>
    </xf>
    <xf numFmtId="8" fontId="9" fillId="7" borderId="0" xfId="0" applyNumberFormat="1" applyFont="1" applyFill="1"/>
    <xf numFmtId="8" fontId="9" fillId="7" borderId="0" xfId="0" applyNumberFormat="1" applyFont="1" applyFill="1" applyAlignment="1">
      <alignment horizontal="center"/>
    </xf>
    <xf numFmtId="0" fontId="12" fillId="6" borderId="0" xfId="0" applyFont="1" applyFill="1" applyAlignment="1">
      <alignment horizontal="center" vertical="center"/>
    </xf>
    <xf numFmtId="0" fontId="15" fillId="3" borderId="2" xfId="0" applyFont="1" applyFill="1" applyBorder="1" applyAlignment="1">
      <alignment horizontal="center" vertical="center"/>
    </xf>
    <xf numFmtId="0" fontId="15" fillId="3" borderId="3" xfId="0" applyFont="1" applyFill="1" applyBorder="1" applyAlignment="1">
      <alignment horizontal="center" vertical="center"/>
    </xf>
    <xf numFmtId="0" fontId="15" fillId="3" borderId="4" xfId="0" applyFont="1" applyFill="1" applyBorder="1" applyAlignment="1">
      <alignment horizontal="center" vertical="center"/>
    </xf>
    <xf numFmtId="0" fontId="15" fillId="3" borderId="5" xfId="0" applyFont="1" applyFill="1" applyBorder="1" applyAlignment="1">
      <alignment horizontal="center" vertical="center"/>
    </xf>
    <xf numFmtId="0" fontId="15" fillId="3" borderId="0" xfId="0" applyFont="1" applyFill="1" applyBorder="1" applyAlignment="1">
      <alignment horizontal="center" vertical="center"/>
    </xf>
    <xf numFmtId="0" fontId="15" fillId="3" borderId="6" xfId="0" applyFont="1" applyFill="1" applyBorder="1" applyAlignment="1">
      <alignment horizontal="center" vertical="center"/>
    </xf>
    <xf numFmtId="0" fontId="15" fillId="3" borderId="7" xfId="0" applyFont="1" applyFill="1" applyBorder="1" applyAlignment="1">
      <alignment horizontal="center" vertical="center"/>
    </xf>
    <xf numFmtId="0" fontId="15" fillId="3" borderId="8" xfId="0" applyFont="1" applyFill="1" applyBorder="1" applyAlignment="1">
      <alignment horizontal="center" vertical="center"/>
    </xf>
    <xf numFmtId="0" fontId="15" fillId="3" borderId="9" xfId="0" applyFont="1" applyFill="1" applyBorder="1" applyAlignment="1">
      <alignment horizontal="center" vertical="center"/>
    </xf>
    <xf numFmtId="0" fontId="16" fillId="5" borderId="0" xfId="0" applyFont="1" applyFill="1"/>
    <xf numFmtId="0" fontId="0" fillId="5" borderId="0" xfId="0" applyFill="1" applyProtection="1">
      <protection locked="0"/>
    </xf>
    <xf numFmtId="0" fontId="2" fillId="10" borderId="0" xfId="0" applyFont="1" applyFill="1" applyAlignment="1" applyProtection="1">
      <alignment horizontal="center" vertical="center"/>
      <protection locked="0"/>
    </xf>
    <xf numFmtId="0" fontId="10" fillId="2" borderId="0" xfId="2" applyFill="1" applyAlignment="1" applyProtection="1">
      <alignment horizontal="center" vertical="center"/>
      <protection locked="0"/>
    </xf>
    <xf numFmtId="0" fontId="10" fillId="13" borderId="0" xfId="2" applyFill="1" applyAlignment="1" applyProtection="1">
      <alignment horizontal="center" vertical="center" wrapText="1"/>
      <protection locked="0"/>
    </xf>
    <xf numFmtId="0" fontId="13" fillId="9" borderId="10" xfId="2" applyFont="1" applyFill="1" applyBorder="1" applyAlignment="1" applyProtection="1">
      <alignment horizontal="center"/>
      <protection locked="0"/>
    </xf>
    <xf numFmtId="0" fontId="13" fillId="9" borderId="11" xfId="2" applyFont="1" applyFill="1" applyBorder="1" applyAlignment="1" applyProtection="1">
      <alignment horizontal="center"/>
      <protection locked="0"/>
    </xf>
    <xf numFmtId="0" fontId="13" fillId="9" borderId="12" xfId="2" applyFont="1" applyFill="1" applyBorder="1" applyAlignment="1" applyProtection="1">
      <alignment horizontal="center"/>
      <protection locked="0"/>
    </xf>
    <xf numFmtId="168" fontId="8" fillId="7" borderId="1" xfId="0" applyNumberFormat="1" applyFont="1" applyFill="1" applyBorder="1" applyProtection="1">
      <protection locked="0"/>
    </xf>
    <xf numFmtId="0" fontId="8" fillId="10" borderId="0" xfId="0" applyFont="1" applyFill="1" applyAlignment="1" applyProtection="1">
      <alignment horizontal="center"/>
      <protection locked="0"/>
    </xf>
    <xf numFmtId="168" fontId="8" fillId="10" borderId="0" xfId="0" applyNumberFormat="1" applyFont="1" applyFill="1" applyProtection="1">
      <protection locked="0"/>
    </xf>
    <xf numFmtId="0" fontId="8" fillId="10" borderId="0" xfId="0" applyFont="1" applyFill="1" applyAlignment="1" applyProtection="1">
      <alignment horizontal="center" vertical="center"/>
      <protection locked="0"/>
    </xf>
    <xf numFmtId="0" fontId="10" fillId="13" borderId="0" xfId="2" applyFill="1" applyAlignment="1" applyProtection="1">
      <alignment horizontal="center" wrapText="1"/>
      <protection locked="0"/>
    </xf>
    <xf numFmtId="0" fontId="10" fillId="11" borderId="0" xfId="2" applyFill="1" applyAlignment="1" applyProtection="1">
      <alignment horizontal="center" vertical="center"/>
      <protection locked="0"/>
    </xf>
    <xf numFmtId="0" fontId="9" fillId="12" borderId="0" xfId="0" applyFont="1" applyFill="1" applyAlignment="1">
      <alignment horizontal="center" vertical="center"/>
    </xf>
    <xf numFmtId="8" fontId="3" fillId="5" borderId="0" xfId="0" applyNumberFormat="1" applyFont="1" applyFill="1" applyAlignment="1">
      <alignment horizontal="center" vertical="center"/>
    </xf>
    <xf numFmtId="10" fontId="0" fillId="5" borderId="0" xfId="0" applyNumberFormat="1" applyFill="1" applyAlignment="1">
      <alignment horizontal="center"/>
    </xf>
    <xf numFmtId="9" fontId="0" fillId="5" borderId="0" xfId="0" applyNumberFormat="1" applyFill="1" applyAlignment="1">
      <alignment horizontal="center"/>
    </xf>
    <xf numFmtId="0" fontId="8" fillId="0" borderId="0" xfId="0" applyFont="1" applyAlignment="1">
      <alignment horizontal="center" vertical="center" wrapText="1"/>
    </xf>
    <xf numFmtId="0" fontId="7" fillId="10" borderId="0" xfId="0" applyFont="1" applyFill="1"/>
    <xf numFmtId="0" fontId="8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0" fillId="13" borderId="0" xfId="2" applyFill="1" applyAlignment="1" applyProtection="1">
      <alignment horizontal="center" vertical="center" wrapText="1"/>
      <protection locked="0"/>
    </xf>
    <xf numFmtId="0" fontId="10" fillId="14" borderId="0" xfId="2" applyFill="1" applyAlignment="1">
      <alignment horizontal="center" vertical="center"/>
    </xf>
    <xf numFmtId="0" fontId="0" fillId="14" borderId="0" xfId="0" applyFill="1" applyAlignment="1">
      <alignment horizontal="center" vertical="center"/>
    </xf>
    <xf numFmtId="0" fontId="8" fillId="5" borderId="0" xfId="0" applyFont="1" applyFill="1" applyAlignment="1">
      <alignment horizontal="center" vertical="center"/>
    </xf>
    <xf numFmtId="0" fontId="8" fillId="10" borderId="0" xfId="0" applyFont="1" applyFill="1" applyAlignment="1">
      <alignment horizontal="center"/>
    </xf>
    <xf numFmtId="0" fontId="0" fillId="5" borderId="0" xfId="0" applyFill="1" applyProtection="1"/>
  </cellXfs>
  <cellStyles count="3">
    <cellStyle name="Hiperlink" xfId="2" builtinId="8"/>
    <cellStyle name="Normal" xfId="0" builtinId="0"/>
    <cellStyle name="Porcentagem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203200</xdr:colOff>
      <xdr:row>16</xdr:row>
      <xdr:rowOff>158750</xdr:rowOff>
    </xdr:from>
    <xdr:to>
      <xdr:col>13</xdr:col>
      <xdr:colOff>478282</xdr:colOff>
      <xdr:row>17</xdr:row>
      <xdr:rowOff>266700</xdr:rowOff>
    </xdr:to>
    <xdr:sp macro="" textlink="">
      <xdr:nvSpPr>
        <xdr:cNvPr id="2" name="Seta para baixo 1"/>
        <xdr:cNvSpPr/>
      </xdr:nvSpPr>
      <xdr:spPr>
        <a:xfrm>
          <a:off x="8128000" y="3740150"/>
          <a:ext cx="275082" cy="298450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139700</xdr:colOff>
      <xdr:row>4</xdr:row>
      <xdr:rowOff>12700</xdr:rowOff>
    </xdr:from>
    <xdr:to>
      <xdr:col>15</xdr:col>
      <xdr:colOff>414782</xdr:colOff>
      <xdr:row>5</xdr:row>
      <xdr:rowOff>12700</xdr:rowOff>
    </xdr:to>
    <xdr:sp macro="" textlink="">
      <xdr:nvSpPr>
        <xdr:cNvPr id="2" name="Seta para baixo 1"/>
        <xdr:cNvSpPr/>
      </xdr:nvSpPr>
      <xdr:spPr>
        <a:xfrm>
          <a:off x="10306050" y="990600"/>
          <a:ext cx="275082" cy="298450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10</xdr:col>
      <xdr:colOff>82550</xdr:colOff>
      <xdr:row>11</xdr:row>
      <xdr:rowOff>146050</xdr:rowOff>
    </xdr:from>
    <xdr:to>
      <xdr:col>10</xdr:col>
      <xdr:colOff>357632</xdr:colOff>
      <xdr:row>13</xdr:row>
      <xdr:rowOff>76200</xdr:rowOff>
    </xdr:to>
    <xdr:sp macro="" textlink="">
      <xdr:nvSpPr>
        <xdr:cNvPr id="3" name="Seta para baixo 2"/>
        <xdr:cNvSpPr/>
      </xdr:nvSpPr>
      <xdr:spPr>
        <a:xfrm>
          <a:off x="6807200" y="2527300"/>
          <a:ext cx="275082" cy="298450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13</xdr:col>
      <xdr:colOff>205317</xdr:colOff>
      <xdr:row>16</xdr:row>
      <xdr:rowOff>138994</xdr:rowOff>
    </xdr:from>
    <xdr:to>
      <xdr:col>13</xdr:col>
      <xdr:colOff>480399</xdr:colOff>
      <xdr:row>18</xdr:row>
      <xdr:rowOff>69144</xdr:rowOff>
    </xdr:to>
    <xdr:sp macro="" textlink="">
      <xdr:nvSpPr>
        <xdr:cNvPr id="4" name="Seta para baixo 3"/>
        <xdr:cNvSpPr/>
      </xdr:nvSpPr>
      <xdr:spPr>
        <a:xfrm>
          <a:off x="8862484" y="3497438"/>
          <a:ext cx="275082" cy="297039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10</xdr:col>
      <xdr:colOff>161572</xdr:colOff>
      <xdr:row>21</xdr:row>
      <xdr:rowOff>141111</xdr:rowOff>
    </xdr:from>
    <xdr:to>
      <xdr:col>10</xdr:col>
      <xdr:colOff>436654</xdr:colOff>
      <xdr:row>23</xdr:row>
      <xdr:rowOff>71261</xdr:rowOff>
    </xdr:to>
    <xdr:sp macro="" textlink="">
      <xdr:nvSpPr>
        <xdr:cNvPr id="5" name="Seta para baixo 4"/>
        <xdr:cNvSpPr/>
      </xdr:nvSpPr>
      <xdr:spPr>
        <a:xfrm>
          <a:off x="6864350" y="4416778"/>
          <a:ext cx="275082" cy="297039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10</xdr:col>
      <xdr:colOff>189794</xdr:colOff>
      <xdr:row>26</xdr:row>
      <xdr:rowOff>138995</xdr:rowOff>
    </xdr:from>
    <xdr:to>
      <xdr:col>10</xdr:col>
      <xdr:colOff>464876</xdr:colOff>
      <xdr:row>28</xdr:row>
      <xdr:rowOff>69145</xdr:rowOff>
    </xdr:to>
    <xdr:sp macro="" textlink="">
      <xdr:nvSpPr>
        <xdr:cNvPr id="6" name="Seta para baixo 5"/>
        <xdr:cNvSpPr/>
      </xdr:nvSpPr>
      <xdr:spPr>
        <a:xfrm>
          <a:off x="6892572" y="5331884"/>
          <a:ext cx="275082" cy="297039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9</xdr:col>
      <xdr:colOff>127706</xdr:colOff>
      <xdr:row>31</xdr:row>
      <xdr:rowOff>111478</xdr:rowOff>
    </xdr:from>
    <xdr:to>
      <xdr:col>9</xdr:col>
      <xdr:colOff>402788</xdr:colOff>
      <xdr:row>33</xdr:row>
      <xdr:rowOff>41628</xdr:rowOff>
    </xdr:to>
    <xdr:sp macro="" textlink="">
      <xdr:nvSpPr>
        <xdr:cNvPr id="7" name="Seta para baixo 6"/>
        <xdr:cNvSpPr/>
      </xdr:nvSpPr>
      <xdr:spPr>
        <a:xfrm>
          <a:off x="6047317" y="6221589"/>
          <a:ext cx="275082" cy="297039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9</xdr:col>
      <xdr:colOff>198261</xdr:colOff>
      <xdr:row>36</xdr:row>
      <xdr:rowOff>146755</xdr:rowOff>
    </xdr:from>
    <xdr:to>
      <xdr:col>9</xdr:col>
      <xdr:colOff>473343</xdr:colOff>
      <xdr:row>38</xdr:row>
      <xdr:rowOff>76905</xdr:rowOff>
    </xdr:to>
    <xdr:sp macro="" textlink="">
      <xdr:nvSpPr>
        <xdr:cNvPr id="8" name="Seta para baixo 7"/>
        <xdr:cNvSpPr/>
      </xdr:nvSpPr>
      <xdr:spPr>
        <a:xfrm>
          <a:off x="6117872" y="7174088"/>
          <a:ext cx="275082" cy="297039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12</xdr:col>
      <xdr:colOff>179916</xdr:colOff>
      <xdr:row>41</xdr:row>
      <xdr:rowOff>103716</xdr:rowOff>
    </xdr:from>
    <xdr:to>
      <xdr:col>12</xdr:col>
      <xdr:colOff>454998</xdr:colOff>
      <xdr:row>43</xdr:row>
      <xdr:rowOff>33866</xdr:rowOff>
    </xdr:to>
    <xdr:sp macro="" textlink="">
      <xdr:nvSpPr>
        <xdr:cNvPr id="9" name="Seta para baixo 8"/>
        <xdr:cNvSpPr/>
      </xdr:nvSpPr>
      <xdr:spPr>
        <a:xfrm>
          <a:off x="8096249" y="8048272"/>
          <a:ext cx="275082" cy="297038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14</xdr:col>
      <xdr:colOff>219427</xdr:colOff>
      <xdr:row>46</xdr:row>
      <xdr:rowOff>113595</xdr:rowOff>
    </xdr:from>
    <xdr:to>
      <xdr:col>14</xdr:col>
      <xdr:colOff>494509</xdr:colOff>
      <xdr:row>48</xdr:row>
      <xdr:rowOff>43745</xdr:rowOff>
    </xdr:to>
    <xdr:sp macro="" textlink="">
      <xdr:nvSpPr>
        <xdr:cNvPr id="10" name="Seta para baixo 9"/>
        <xdr:cNvSpPr/>
      </xdr:nvSpPr>
      <xdr:spPr>
        <a:xfrm>
          <a:off x="9483371" y="8975373"/>
          <a:ext cx="275082" cy="297039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17</xdr:col>
      <xdr:colOff>112889</xdr:colOff>
      <xdr:row>3</xdr:row>
      <xdr:rowOff>169334</xdr:rowOff>
    </xdr:from>
    <xdr:to>
      <xdr:col>17</xdr:col>
      <xdr:colOff>387971</xdr:colOff>
      <xdr:row>4</xdr:row>
      <xdr:rowOff>352778</xdr:rowOff>
    </xdr:to>
    <xdr:sp macro="" textlink="">
      <xdr:nvSpPr>
        <xdr:cNvPr id="11" name="Seta para baixo 10"/>
        <xdr:cNvSpPr/>
      </xdr:nvSpPr>
      <xdr:spPr>
        <a:xfrm>
          <a:off x="12107333" y="959556"/>
          <a:ext cx="275082" cy="366889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101600</xdr:colOff>
      <xdr:row>6</xdr:row>
      <xdr:rowOff>82550</xdr:rowOff>
    </xdr:from>
    <xdr:to>
      <xdr:col>7</xdr:col>
      <xdr:colOff>376682</xdr:colOff>
      <xdr:row>7</xdr:row>
      <xdr:rowOff>196850</xdr:rowOff>
    </xdr:to>
    <xdr:sp macro="" textlink="">
      <xdr:nvSpPr>
        <xdr:cNvPr id="2" name="Seta para baixo 1"/>
        <xdr:cNvSpPr/>
      </xdr:nvSpPr>
      <xdr:spPr>
        <a:xfrm>
          <a:off x="6165850" y="1416050"/>
          <a:ext cx="275082" cy="298450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7</xdr:col>
      <xdr:colOff>146050</xdr:colOff>
      <xdr:row>11</xdr:row>
      <xdr:rowOff>107950</xdr:rowOff>
    </xdr:from>
    <xdr:to>
      <xdr:col>7</xdr:col>
      <xdr:colOff>421132</xdr:colOff>
      <xdr:row>12</xdr:row>
      <xdr:rowOff>222250</xdr:rowOff>
    </xdr:to>
    <xdr:sp macro="" textlink="">
      <xdr:nvSpPr>
        <xdr:cNvPr id="3" name="Seta para baixo 2"/>
        <xdr:cNvSpPr/>
      </xdr:nvSpPr>
      <xdr:spPr>
        <a:xfrm>
          <a:off x="6210300" y="2292350"/>
          <a:ext cx="275082" cy="298450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7</xdr:col>
      <xdr:colOff>254000</xdr:colOff>
      <xdr:row>23</xdr:row>
      <xdr:rowOff>76200</xdr:rowOff>
    </xdr:from>
    <xdr:to>
      <xdr:col>7</xdr:col>
      <xdr:colOff>529082</xdr:colOff>
      <xdr:row>24</xdr:row>
      <xdr:rowOff>190500</xdr:rowOff>
    </xdr:to>
    <xdr:sp macro="" textlink="">
      <xdr:nvSpPr>
        <xdr:cNvPr id="4" name="Seta para baixo 3"/>
        <xdr:cNvSpPr/>
      </xdr:nvSpPr>
      <xdr:spPr>
        <a:xfrm>
          <a:off x="6318250" y="4775200"/>
          <a:ext cx="275082" cy="298450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8</xdr:col>
      <xdr:colOff>89916</xdr:colOff>
      <xdr:row>8</xdr:row>
      <xdr:rowOff>227584</xdr:rowOff>
    </xdr:from>
    <xdr:to>
      <xdr:col>8</xdr:col>
      <xdr:colOff>388366</xdr:colOff>
      <xdr:row>10</xdr:row>
      <xdr:rowOff>0</xdr:rowOff>
    </xdr:to>
    <xdr:sp macro="" textlink="">
      <xdr:nvSpPr>
        <xdr:cNvPr id="5" name="Seta para baixo 4"/>
        <xdr:cNvSpPr/>
      </xdr:nvSpPr>
      <xdr:spPr>
        <a:xfrm rot="5400000">
          <a:off x="8096250" y="2000250"/>
          <a:ext cx="275082" cy="298450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oneCellAnchor>
    <xdr:from>
      <xdr:col>8</xdr:col>
      <xdr:colOff>469900</xdr:colOff>
      <xdr:row>8</xdr:row>
      <xdr:rowOff>234950</xdr:rowOff>
    </xdr:from>
    <xdr:ext cx="1338123" cy="311496"/>
    <xdr:sp macro="" textlink="">
      <xdr:nvSpPr>
        <xdr:cNvPr id="6" name="CaixaDeTexto 5"/>
        <xdr:cNvSpPr txBox="1"/>
      </xdr:nvSpPr>
      <xdr:spPr>
        <a:xfrm>
          <a:off x="8464550" y="2019300"/>
          <a:ext cx="1338123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pt-BR" sz="1400" b="1"/>
            <a:t>Informe o valor</a:t>
          </a:r>
        </a:p>
      </xdr:txBody>
    </xdr:sp>
    <xdr:clientData/>
  </xdr:oneCellAnchor>
  <xdr:twoCellAnchor>
    <xdr:from>
      <xdr:col>5</xdr:col>
      <xdr:colOff>158750</xdr:colOff>
      <xdr:row>16</xdr:row>
      <xdr:rowOff>0</xdr:rowOff>
    </xdr:from>
    <xdr:to>
      <xdr:col>5</xdr:col>
      <xdr:colOff>457200</xdr:colOff>
      <xdr:row>17</xdr:row>
      <xdr:rowOff>40132</xdr:rowOff>
    </xdr:to>
    <xdr:sp macro="" textlink="">
      <xdr:nvSpPr>
        <xdr:cNvPr id="7" name="Seta para baixo 6"/>
        <xdr:cNvSpPr/>
      </xdr:nvSpPr>
      <xdr:spPr>
        <a:xfrm rot="16200000">
          <a:off x="3688334" y="3709416"/>
          <a:ext cx="275082" cy="298450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133350</xdr:colOff>
      <xdr:row>19</xdr:row>
      <xdr:rowOff>139700</xdr:rowOff>
    </xdr:from>
    <xdr:to>
      <xdr:col>5</xdr:col>
      <xdr:colOff>431800</xdr:colOff>
      <xdr:row>20</xdr:row>
      <xdr:rowOff>230632</xdr:rowOff>
    </xdr:to>
    <xdr:sp macro="" textlink="">
      <xdr:nvSpPr>
        <xdr:cNvPr id="9" name="Seta para baixo 8"/>
        <xdr:cNvSpPr/>
      </xdr:nvSpPr>
      <xdr:spPr>
        <a:xfrm rot="16200000">
          <a:off x="3662934" y="4503166"/>
          <a:ext cx="275082" cy="298450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10</xdr:col>
      <xdr:colOff>63500</xdr:colOff>
      <xdr:row>1</xdr:row>
      <xdr:rowOff>23813</xdr:rowOff>
    </xdr:from>
    <xdr:to>
      <xdr:col>10</xdr:col>
      <xdr:colOff>338582</xdr:colOff>
      <xdr:row>1</xdr:row>
      <xdr:rowOff>320146</xdr:rowOff>
    </xdr:to>
    <xdr:sp macro="" textlink="">
      <xdr:nvSpPr>
        <xdr:cNvPr id="10" name="Seta para baixo 9"/>
        <xdr:cNvSpPr/>
      </xdr:nvSpPr>
      <xdr:spPr>
        <a:xfrm>
          <a:off x="9580563" y="214313"/>
          <a:ext cx="275082" cy="296333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12</xdr:col>
      <xdr:colOff>79375</xdr:colOff>
      <xdr:row>1</xdr:row>
      <xdr:rowOff>55563</xdr:rowOff>
    </xdr:from>
    <xdr:to>
      <xdr:col>12</xdr:col>
      <xdr:colOff>354457</xdr:colOff>
      <xdr:row>1</xdr:row>
      <xdr:rowOff>351896</xdr:rowOff>
    </xdr:to>
    <xdr:sp macro="" textlink="">
      <xdr:nvSpPr>
        <xdr:cNvPr id="11" name="Seta para baixo 10"/>
        <xdr:cNvSpPr/>
      </xdr:nvSpPr>
      <xdr:spPr>
        <a:xfrm>
          <a:off x="11287125" y="246063"/>
          <a:ext cx="275082" cy="296333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50800</xdr:colOff>
      <xdr:row>1</xdr:row>
      <xdr:rowOff>12700</xdr:rowOff>
    </xdr:from>
    <xdr:to>
      <xdr:col>13</xdr:col>
      <xdr:colOff>325882</xdr:colOff>
      <xdr:row>1</xdr:row>
      <xdr:rowOff>309033</xdr:rowOff>
    </xdr:to>
    <xdr:sp macro="" textlink="">
      <xdr:nvSpPr>
        <xdr:cNvPr id="2" name="Seta para baixo 1"/>
        <xdr:cNvSpPr/>
      </xdr:nvSpPr>
      <xdr:spPr>
        <a:xfrm>
          <a:off x="9251950" y="387350"/>
          <a:ext cx="275082" cy="296333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15</xdr:col>
      <xdr:colOff>95250</xdr:colOff>
      <xdr:row>1</xdr:row>
      <xdr:rowOff>19050</xdr:rowOff>
    </xdr:from>
    <xdr:to>
      <xdr:col>15</xdr:col>
      <xdr:colOff>370332</xdr:colOff>
      <xdr:row>1</xdr:row>
      <xdr:rowOff>315383</xdr:rowOff>
    </xdr:to>
    <xdr:sp macro="" textlink="">
      <xdr:nvSpPr>
        <xdr:cNvPr id="3" name="Seta para baixo 2"/>
        <xdr:cNvSpPr/>
      </xdr:nvSpPr>
      <xdr:spPr>
        <a:xfrm>
          <a:off x="10712450" y="393700"/>
          <a:ext cx="275082" cy="296333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101600</xdr:colOff>
      <xdr:row>1</xdr:row>
      <xdr:rowOff>0</xdr:rowOff>
    </xdr:from>
    <xdr:to>
      <xdr:col>12</xdr:col>
      <xdr:colOff>376682</xdr:colOff>
      <xdr:row>1</xdr:row>
      <xdr:rowOff>296333</xdr:rowOff>
    </xdr:to>
    <xdr:sp macro="" textlink="">
      <xdr:nvSpPr>
        <xdr:cNvPr id="2" name="Seta para baixo 1"/>
        <xdr:cNvSpPr/>
      </xdr:nvSpPr>
      <xdr:spPr>
        <a:xfrm>
          <a:off x="10077450" y="190500"/>
          <a:ext cx="275082" cy="296333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12</xdr:col>
      <xdr:colOff>146050</xdr:colOff>
      <xdr:row>4</xdr:row>
      <xdr:rowOff>139700</xdr:rowOff>
    </xdr:from>
    <xdr:to>
      <xdr:col>12</xdr:col>
      <xdr:colOff>421132</xdr:colOff>
      <xdr:row>4</xdr:row>
      <xdr:rowOff>436033</xdr:rowOff>
    </xdr:to>
    <xdr:sp macro="" textlink="">
      <xdr:nvSpPr>
        <xdr:cNvPr id="3" name="Seta para baixo 2"/>
        <xdr:cNvSpPr/>
      </xdr:nvSpPr>
      <xdr:spPr>
        <a:xfrm>
          <a:off x="10121900" y="1035050"/>
          <a:ext cx="275082" cy="296333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114300</xdr:colOff>
      <xdr:row>1</xdr:row>
      <xdr:rowOff>31750</xdr:rowOff>
    </xdr:from>
    <xdr:to>
      <xdr:col>11</xdr:col>
      <xdr:colOff>389382</xdr:colOff>
      <xdr:row>1</xdr:row>
      <xdr:rowOff>328083</xdr:rowOff>
    </xdr:to>
    <xdr:sp macro="" textlink="">
      <xdr:nvSpPr>
        <xdr:cNvPr id="2" name="Seta para baixo 1"/>
        <xdr:cNvSpPr/>
      </xdr:nvSpPr>
      <xdr:spPr>
        <a:xfrm>
          <a:off x="11239500" y="88900"/>
          <a:ext cx="275082" cy="296333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11</xdr:col>
      <xdr:colOff>158750</xdr:colOff>
      <xdr:row>3</xdr:row>
      <xdr:rowOff>165100</xdr:rowOff>
    </xdr:from>
    <xdr:to>
      <xdr:col>11</xdr:col>
      <xdr:colOff>433832</xdr:colOff>
      <xdr:row>4</xdr:row>
      <xdr:rowOff>277283</xdr:rowOff>
    </xdr:to>
    <xdr:sp macro="" textlink="">
      <xdr:nvSpPr>
        <xdr:cNvPr id="3" name="Seta para baixo 2"/>
        <xdr:cNvSpPr/>
      </xdr:nvSpPr>
      <xdr:spPr>
        <a:xfrm>
          <a:off x="11283950" y="793750"/>
          <a:ext cx="275082" cy="296333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127000</xdr:colOff>
      <xdr:row>2</xdr:row>
      <xdr:rowOff>0</xdr:rowOff>
    </xdr:from>
    <xdr:to>
      <xdr:col>12</xdr:col>
      <xdr:colOff>402082</xdr:colOff>
      <xdr:row>2</xdr:row>
      <xdr:rowOff>296333</xdr:rowOff>
    </xdr:to>
    <xdr:sp macro="" textlink="">
      <xdr:nvSpPr>
        <xdr:cNvPr id="2" name="Seta para baixo 1"/>
        <xdr:cNvSpPr/>
      </xdr:nvSpPr>
      <xdr:spPr>
        <a:xfrm>
          <a:off x="10852150" y="374650"/>
          <a:ext cx="275082" cy="296333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12</xdr:col>
      <xdr:colOff>139700</xdr:colOff>
      <xdr:row>5</xdr:row>
      <xdr:rowOff>12700</xdr:rowOff>
    </xdr:from>
    <xdr:to>
      <xdr:col>12</xdr:col>
      <xdr:colOff>414782</xdr:colOff>
      <xdr:row>5</xdr:row>
      <xdr:rowOff>309033</xdr:rowOff>
    </xdr:to>
    <xdr:sp macro="" textlink="">
      <xdr:nvSpPr>
        <xdr:cNvPr id="3" name="Seta para baixo 2"/>
        <xdr:cNvSpPr/>
      </xdr:nvSpPr>
      <xdr:spPr>
        <a:xfrm>
          <a:off x="10864850" y="1092200"/>
          <a:ext cx="275082" cy="296333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12</xdr:col>
      <xdr:colOff>146050</xdr:colOff>
      <xdr:row>8</xdr:row>
      <xdr:rowOff>0</xdr:rowOff>
    </xdr:from>
    <xdr:to>
      <xdr:col>12</xdr:col>
      <xdr:colOff>421132</xdr:colOff>
      <xdr:row>9</xdr:row>
      <xdr:rowOff>29633</xdr:rowOff>
    </xdr:to>
    <xdr:sp macro="" textlink="">
      <xdr:nvSpPr>
        <xdr:cNvPr id="4" name="Seta para baixo 3"/>
        <xdr:cNvSpPr/>
      </xdr:nvSpPr>
      <xdr:spPr>
        <a:xfrm>
          <a:off x="10756900" y="1847850"/>
          <a:ext cx="275082" cy="296333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69850</xdr:colOff>
      <xdr:row>2</xdr:row>
      <xdr:rowOff>63500</xdr:rowOff>
    </xdr:from>
    <xdr:to>
      <xdr:col>11</xdr:col>
      <xdr:colOff>344932</xdr:colOff>
      <xdr:row>3</xdr:row>
      <xdr:rowOff>175683</xdr:rowOff>
    </xdr:to>
    <xdr:sp macro="" textlink="">
      <xdr:nvSpPr>
        <xdr:cNvPr id="2" name="Seta para baixo 1"/>
        <xdr:cNvSpPr/>
      </xdr:nvSpPr>
      <xdr:spPr>
        <a:xfrm>
          <a:off x="9582150" y="431800"/>
          <a:ext cx="275082" cy="296333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11</xdr:col>
      <xdr:colOff>82550</xdr:colOff>
      <xdr:row>6</xdr:row>
      <xdr:rowOff>38100</xdr:rowOff>
    </xdr:from>
    <xdr:to>
      <xdr:col>11</xdr:col>
      <xdr:colOff>357632</xdr:colOff>
      <xdr:row>7</xdr:row>
      <xdr:rowOff>150283</xdr:rowOff>
    </xdr:to>
    <xdr:sp macro="" textlink="">
      <xdr:nvSpPr>
        <xdr:cNvPr id="3" name="Seta para baixo 2"/>
        <xdr:cNvSpPr/>
      </xdr:nvSpPr>
      <xdr:spPr>
        <a:xfrm>
          <a:off x="9594850" y="1193800"/>
          <a:ext cx="275082" cy="296333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E3:P18"/>
  <sheetViews>
    <sheetView tabSelected="1" topLeftCell="A4" workbookViewId="0">
      <selection activeCell="G18" sqref="G18:M18"/>
    </sheetView>
  </sheetViews>
  <sheetFormatPr defaultRowHeight="14.5" x14ac:dyDescent="0.35"/>
  <cols>
    <col min="1" max="16384" width="8.7265625" style="1"/>
  </cols>
  <sheetData>
    <row r="3" spans="5:16" ht="15" thickBot="1" x14ac:dyDescent="0.4"/>
    <row r="4" spans="5:16" ht="14.5" customHeight="1" x14ac:dyDescent="0.35">
      <c r="E4" s="58" t="s">
        <v>47</v>
      </c>
      <c r="F4" s="59"/>
      <c r="G4" s="59"/>
      <c r="H4" s="59"/>
      <c r="I4" s="59"/>
      <c r="J4" s="59"/>
      <c r="K4" s="59"/>
      <c r="L4" s="59"/>
      <c r="M4" s="59"/>
      <c r="N4" s="59"/>
      <c r="O4" s="59"/>
      <c r="P4" s="60"/>
    </row>
    <row r="5" spans="5:16" ht="14.5" customHeight="1" x14ac:dyDescent="0.35">
      <c r="E5" s="61"/>
      <c r="F5" s="62"/>
      <c r="G5" s="62"/>
      <c r="H5" s="62"/>
      <c r="I5" s="62"/>
      <c r="J5" s="62"/>
      <c r="K5" s="62"/>
      <c r="L5" s="62"/>
      <c r="M5" s="62"/>
      <c r="N5" s="62"/>
      <c r="O5" s="62"/>
      <c r="P5" s="63"/>
    </row>
    <row r="6" spans="5:16" ht="14.5" customHeight="1" x14ac:dyDescent="0.35">
      <c r="E6" s="61"/>
      <c r="F6" s="62"/>
      <c r="G6" s="62"/>
      <c r="H6" s="62"/>
      <c r="I6" s="62"/>
      <c r="J6" s="62"/>
      <c r="K6" s="62"/>
      <c r="L6" s="62"/>
      <c r="M6" s="62"/>
      <c r="N6" s="62"/>
      <c r="O6" s="62"/>
      <c r="P6" s="63"/>
    </row>
    <row r="7" spans="5:16" ht="14.5" customHeight="1" x14ac:dyDescent="0.35">
      <c r="E7" s="61"/>
      <c r="F7" s="62"/>
      <c r="G7" s="62"/>
      <c r="H7" s="62"/>
      <c r="I7" s="62"/>
      <c r="J7" s="62"/>
      <c r="K7" s="62"/>
      <c r="L7" s="62"/>
      <c r="M7" s="62"/>
      <c r="N7" s="62"/>
      <c r="O7" s="62"/>
      <c r="P7" s="63"/>
    </row>
    <row r="8" spans="5:16" ht="14.5" customHeight="1" x14ac:dyDescent="0.35">
      <c r="E8" s="61"/>
      <c r="F8" s="62"/>
      <c r="G8" s="62"/>
      <c r="H8" s="62"/>
      <c r="I8" s="62"/>
      <c r="J8" s="62"/>
      <c r="K8" s="62"/>
      <c r="L8" s="62"/>
      <c r="M8" s="62"/>
      <c r="N8" s="62"/>
      <c r="O8" s="62"/>
      <c r="P8" s="63"/>
    </row>
    <row r="9" spans="5:16" ht="15" customHeight="1" thickBot="1" x14ac:dyDescent="0.4">
      <c r="E9" s="64"/>
      <c r="F9" s="65"/>
      <c r="G9" s="65"/>
      <c r="H9" s="65"/>
      <c r="I9" s="65"/>
      <c r="J9" s="65"/>
      <c r="K9" s="65"/>
      <c r="L9" s="65"/>
      <c r="M9" s="65"/>
      <c r="N9" s="65"/>
      <c r="O9" s="65"/>
      <c r="P9" s="66"/>
    </row>
    <row r="13" spans="5:16" ht="63.5" customHeight="1" x14ac:dyDescent="0.35">
      <c r="E13" s="2" t="s">
        <v>0</v>
      </c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</row>
    <row r="17" spans="7:14" ht="15" thickBot="1" x14ac:dyDescent="0.4"/>
    <row r="18" spans="7:14" ht="21.5" thickBot="1" x14ac:dyDescent="0.55000000000000004">
      <c r="G18" s="72" t="s">
        <v>1</v>
      </c>
      <c r="H18" s="73"/>
      <c r="I18" s="73"/>
      <c r="J18" s="73"/>
      <c r="K18" s="73"/>
      <c r="L18" s="73"/>
      <c r="M18" s="74"/>
      <c r="N18" s="9"/>
    </row>
  </sheetData>
  <sheetProtection sheet="1" objects="1" scenarios="1" selectLockedCells="1"/>
  <mergeCells count="3">
    <mergeCell ref="E13:P13"/>
    <mergeCell ref="G18:M18"/>
    <mergeCell ref="E4:P9"/>
  </mergeCells>
  <hyperlinks>
    <hyperlink ref="G18:M18" location="'Perfil do Investidor'!A1" display="CLIQUE AQUI PARA COMEÇAR"/>
  </hyperlinks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1:AD52"/>
  <sheetViews>
    <sheetView zoomScale="90" zoomScaleNormal="90" workbookViewId="0">
      <selection activeCell="O5" sqref="O5"/>
    </sheetView>
  </sheetViews>
  <sheetFormatPr defaultRowHeight="14.5" x14ac:dyDescent="0.35"/>
  <cols>
    <col min="1" max="1" width="2.453125" style="1" customWidth="1"/>
    <col min="2" max="2" width="7" style="1" customWidth="1"/>
    <col min="3" max="8" width="8.7265625" style="1"/>
    <col min="9" max="9" width="23.26953125" style="1" customWidth="1"/>
    <col min="10" max="10" width="11.1796875" style="1" customWidth="1"/>
    <col min="11" max="11" width="8.7265625" style="1"/>
    <col min="12" max="12" width="10.1796875" style="1" customWidth="1"/>
    <col min="13" max="13" width="10.6328125" style="1" customWidth="1"/>
    <col min="14" max="14" width="10" style="1" customWidth="1"/>
    <col min="15" max="15" width="12.453125" style="1" customWidth="1"/>
    <col min="16" max="16" width="8.7265625" style="1"/>
    <col min="17" max="17" width="18" style="1" customWidth="1"/>
    <col min="18" max="29" width="8.7265625" style="1"/>
    <col min="30" max="30" width="8.7265625" style="8"/>
    <col min="31" max="16384" width="8.7265625" style="1"/>
  </cols>
  <sheetData>
    <row r="1" spans="3:30" x14ac:dyDescent="0.35">
      <c r="AA1" s="1" t="s">
        <v>16</v>
      </c>
      <c r="AB1" s="1" t="s">
        <v>17</v>
      </c>
    </row>
    <row r="2" spans="3:30" ht="33.5" x14ac:dyDescent="0.35">
      <c r="G2" s="14" t="s">
        <v>2</v>
      </c>
      <c r="H2" s="14"/>
      <c r="I2" s="14"/>
      <c r="J2" s="14"/>
      <c r="K2" s="14"/>
      <c r="L2" s="14"/>
      <c r="M2" s="14"/>
      <c r="AA2" s="1" t="s">
        <v>18</v>
      </c>
      <c r="AB2" s="1">
        <v>0</v>
      </c>
    </row>
    <row r="3" spans="3:30" x14ac:dyDescent="0.35">
      <c r="AA3" s="1" t="s">
        <v>13</v>
      </c>
      <c r="AB3" s="1">
        <v>1</v>
      </c>
      <c r="AD3" s="12">
        <f>IFERROR(VLOOKUP(J13,$AA$2:$AB$5,2,FALSE),0)</f>
        <v>0</v>
      </c>
    </row>
    <row r="4" spans="3:30" x14ac:dyDescent="0.35">
      <c r="AA4" s="1" t="s">
        <v>14</v>
      </c>
      <c r="AB4" s="1">
        <v>2</v>
      </c>
      <c r="AD4" s="12">
        <f>IFERROR(VLOOKUP(M18,$AA$2:$AB$5,2,FALSE),0)</f>
        <v>0</v>
      </c>
    </row>
    <row r="5" spans="3:30" ht="29" x14ac:dyDescent="0.4">
      <c r="C5" s="67" t="s">
        <v>11</v>
      </c>
      <c r="I5" s="57" t="str">
        <f>IF(AND(OR(J13="A",J13="B",J13="C"),OR(J23="A",J23="B",J23="C"),OR(J28="A",J28="B",J28="C"),OR(I33="A",I33="B",I33="C"),OR(I38="A",I38="B",I38="C"),OR(L43="A",L43="B",L43="C"),OR(N48="A",N48="B",N48="C")),IF($AD$11&lt;=13,"CONSERVADOR",IF($AD$11&lt;=19,"MODERADO","AGRESSIVO")),"")</f>
        <v/>
      </c>
      <c r="O5" s="70" t="s">
        <v>48</v>
      </c>
      <c r="Q5" s="71" t="s">
        <v>114</v>
      </c>
      <c r="AA5" s="1" t="s">
        <v>15</v>
      </c>
      <c r="AB5" s="1">
        <v>3</v>
      </c>
      <c r="AD5" s="12">
        <f>IFERROR(VLOOKUP(J23,$AA$2:$AB$5,2,FALSE),0)</f>
        <v>0</v>
      </c>
    </row>
    <row r="6" spans="3:30" x14ac:dyDescent="0.35">
      <c r="AD6" s="12">
        <f>IFERROR(VLOOKUP(J28,$AA$2:$AB$5,2,FALSE),0)</f>
        <v>0</v>
      </c>
    </row>
    <row r="7" spans="3:30" x14ac:dyDescent="0.35">
      <c r="C7" t="s">
        <v>12</v>
      </c>
      <c r="AD7" s="12">
        <f>IFERROR(VLOOKUP(I33,$AA$2:$AB$5,2,FALSE),0)</f>
        <v>0</v>
      </c>
    </row>
    <row r="8" spans="3:30" x14ac:dyDescent="0.35">
      <c r="C8" t="s">
        <v>19</v>
      </c>
      <c r="AD8" s="12">
        <f>IFERROR(VLOOKUP(I38,$AA$2:$AB$5,2,FALSE),0)</f>
        <v>0</v>
      </c>
    </row>
    <row r="9" spans="3:30" x14ac:dyDescent="0.35">
      <c r="C9"/>
      <c r="AD9" s="12">
        <f>IFERROR(VLOOKUP(L43,$AA$2:$AB$5,2,FALSE),0)</f>
        <v>0</v>
      </c>
    </row>
    <row r="10" spans="3:30" x14ac:dyDescent="0.35">
      <c r="C10" s="3" t="s">
        <v>20</v>
      </c>
      <c r="AD10" s="12">
        <f>IFERROR(VLOOKUP(N48,$AA$2:$AB$5,2,FALSE),0)</f>
        <v>0</v>
      </c>
    </row>
    <row r="11" spans="3:30" x14ac:dyDescent="0.35">
      <c r="C11" s="1" t="s">
        <v>21</v>
      </c>
      <c r="AC11" s="13" t="s">
        <v>46</v>
      </c>
      <c r="AD11" s="8">
        <f>SUM(AD3:AD10)</f>
        <v>0</v>
      </c>
    </row>
    <row r="13" spans="3:30" x14ac:dyDescent="0.35">
      <c r="C13" s="10" t="s">
        <v>3</v>
      </c>
      <c r="J13" s="69" t="s">
        <v>18</v>
      </c>
    </row>
    <row r="14" spans="3:30" x14ac:dyDescent="0.35">
      <c r="C14" s="10" t="s">
        <v>25</v>
      </c>
    </row>
    <row r="15" spans="3:30" x14ac:dyDescent="0.35">
      <c r="C15" s="10" t="s">
        <v>26</v>
      </c>
    </row>
    <row r="16" spans="3:30" x14ac:dyDescent="0.35">
      <c r="C16" s="10" t="s">
        <v>27</v>
      </c>
    </row>
    <row r="18" spans="3:13" x14ac:dyDescent="0.35">
      <c r="C18" s="10" t="s">
        <v>4</v>
      </c>
      <c r="M18" s="69" t="s">
        <v>18</v>
      </c>
    </row>
    <row r="19" spans="3:13" x14ac:dyDescent="0.35">
      <c r="C19" s="10" t="s">
        <v>22</v>
      </c>
    </row>
    <row r="20" spans="3:13" x14ac:dyDescent="0.35">
      <c r="C20" s="10" t="s">
        <v>23</v>
      </c>
    </row>
    <row r="21" spans="3:13" x14ac:dyDescent="0.35">
      <c r="C21" s="10" t="s">
        <v>24</v>
      </c>
    </row>
    <row r="23" spans="3:13" x14ac:dyDescent="0.35">
      <c r="C23" s="10" t="s">
        <v>5</v>
      </c>
      <c r="J23" s="69" t="s">
        <v>18</v>
      </c>
    </row>
    <row r="24" spans="3:13" x14ac:dyDescent="0.35">
      <c r="C24" s="10" t="s">
        <v>28</v>
      </c>
    </row>
    <row r="25" spans="3:13" x14ac:dyDescent="0.35">
      <c r="C25" s="10" t="s">
        <v>29</v>
      </c>
    </row>
    <row r="26" spans="3:13" x14ac:dyDescent="0.35">
      <c r="C26" s="10" t="s">
        <v>30</v>
      </c>
    </row>
    <row r="28" spans="3:13" x14ac:dyDescent="0.35">
      <c r="C28" s="10" t="s">
        <v>6</v>
      </c>
      <c r="J28" s="69" t="s">
        <v>18</v>
      </c>
    </row>
    <row r="29" spans="3:13" x14ac:dyDescent="0.35">
      <c r="C29" s="10" t="s">
        <v>31</v>
      </c>
    </row>
    <row r="30" spans="3:13" x14ac:dyDescent="0.35">
      <c r="C30" s="10" t="s">
        <v>32</v>
      </c>
    </row>
    <row r="31" spans="3:13" x14ac:dyDescent="0.35">
      <c r="C31" s="10" t="s">
        <v>33</v>
      </c>
    </row>
    <row r="33" spans="3:14" x14ac:dyDescent="0.35">
      <c r="C33" s="10" t="s">
        <v>7</v>
      </c>
      <c r="I33" s="69" t="s">
        <v>18</v>
      </c>
    </row>
    <row r="34" spans="3:14" x14ac:dyDescent="0.35">
      <c r="C34" s="10" t="s">
        <v>34</v>
      </c>
    </row>
    <row r="35" spans="3:14" x14ac:dyDescent="0.35">
      <c r="C35" s="10" t="s">
        <v>35</v>
      </c>
    </row>
    <row r="36" spans="3:14" x14ac:dyDescent="0.35">
      <c r="C36" s="10" t="s">
        <v>36</v>
      </c>
    </row>
    <row r="37" spans="3:14" x14ac:dyDescent="0.35">
      <c r="L37" s="68"/>
    </row>
    <row r="38" spans="3:14" x14ac:dyDescent="0.35">
      <c r="C38" s="10" t="s">
        <v>8</v>
      </c>
      <c r="I38" s="69" t="s">
        <v>18</v>
      </c>
    </row>
    <row r="39" spans="3:14" x14ac:dyDescent="0.35">
      <c r="C39" s="10" t="s">
        <v>37</v>
      </c>
    </row>
    <row r="40" spans="3:14" x14ac:dyDescent="0.35">
      <c r="C40" s="10" t="s">
        <v>38</v>
      </c>
    </row>
    <row r="41" spans="3:14" x14ac:dyDescent="0.35">
      <c r="C41" s="10" t="s">
        <v>39</v>
      </c>
    </row>
    <row r="42" spans="3:14" x14ac:dyDescent="0.35">
      <c r="C42" s="10"/>
    </row>
    <row r="43" spans="3:14" x14ac:dyDescent="0.35">
      <c r="C43" s="10" t="s">
        <v>9</v>
      </c>
      <c r="L43" s="69" t="s">
        <v>18</v>
      </c>
    </row>
    <row r="44" spans="3:14" x14ac:dyDescent="0.35">
      <c r="C44" s="10" t="s">
        <v>40</v>
      </c>
    </row>
    <row r="45" spans="3:14" x14ac:dyDescent="0.35">
      <c r="C45" s="10" t="s">
        <v>41</v>
      </c>
    </row>
    <row r="46" spans="3:14" x14ac:dyDescent="0.35">
      <c r="C46" s="10" t="s">
        <v>42</v>
      </c>
    </row>
    <row r="47" spans="3:14" x14ac:dyDescent="0.35">
      <c r="C47" s="10"/>
    </row>
    <row r="48" spans="3:14" x14ac:dyDescent="0.35">
      <c r="C48" s="10" t="s">
        <v>10</v>
      </c>
      <c r="N48" s="69" t="s">
        <v>18</v>
      </c>
    </row>
    <row r="49" spans="3:11" x14ac:dyDescent="0.35">
      <c r="C49" s="10" t="s">
        <v>43</v>
      </c>
    </row>
    <row r="50" spans="3:11" x14ac:dyDescent="0.35">
      <c r="C50" s="10" t="s">
        <v>44</v>
      </c>
    </row>
    <row r="51" spans="3:11" x14ac:dyDescent="0.35">
      <c r="C51" s="10" t="s">
        <v>45</v>
      </c>
    </row>
    <row r="52" spans="3:11" x14ac:dyDescent="0.35">
      <c r="K52" s="68"/>
    </row>
  </sheetData>
  <sheetProtection sheet="1" objects="1" scenarios="1" selectLockedCells="1"/>
  <mergeCells count="1">
    <mergeCell ref="G2:M2"/>
  </mergeCells>
  <dataValidations count="1">
    <dataValidation type="list" allowBlank="1" showInputMessage="1" showErrorMessage="1" sqref="N48 J13 M18 J23 J28 I33 I38 L43">
      <formula1>$AA$2:$AA$5</formula1>
    </dataValidation>
  </dataValidations>
  <hyperlinks>
    <hyperlink ref="O5" location="'Objetivo do Investimento'!A1" display="CONTINUAR"/>
    <hyperlink ref="Q5" location="Rosto!A1" display="Voltar para página anterior"/>
  </hyperlinks>
  <pageMargins left="0.511811024" right="0.511811024" top="0.78740157499999996" bottom="0.78740157499999996" header="0.31496062000000002" footer="0.31496062000000002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E25"/>
  <sheetViews>
    <sheetView zoomScale="80" zoomScaleNormal="80" workbookViewId="0">
      <selection activeCell="J2" sqref="J2"/>
    </sheetView>
  </sheetViews>
  <sheetFormatPr defaultRowHeight="14.5" x14ac:dyDescent="0.35"/>
  <cols>
    <col min="1" max="1" width="5.1796875" style="1" customWidth="1"/>
    <col min="2" max="2" width="17.7265625" style="1" customWidth="1"/>
    <col min="3" max="3" width="6.453125" style="1" customWidth="1"/>
    <col min="4" max="4" width="12.26953125" style="1" customWidth="1"/>
    <col min="5" max="6" width="8.7265625" style="1"/>
    <col min="7" max="7" width="32.7265625" style="1" customWidth="1"/>
    <col min="8" max="8" width="22.6328125" style="1" customWidth="1"/>
    <col min="9" max="9" width="8.90625" style="1" customWidth="1"/>
    <col min="10" max="10" width="12.81640625" style="1" customWidth="1"/>
    <col min="11" max="11" width="8.7265625" style="1"/>
    <col min="12" max="12" width="15.453125" style="1" customWidth="1"/>
    <col min="13" max="13" width="8.7265625" style="1"/>
    <col min="14" max="14" width="13.6328125" style="1" customWidth="1"/>
    <col min="15" max="16384" width="8.7265625" style="1"/>
  </cols>
  <sheetData>
    <row r="1" spans="2:31" ht="15" thickBot="1" x14ac:dyDescent="0.4"/>
    <row r="2" spans="2:31" ht="29.5" thickBot="1" x14ac:dyDescent="0.4">
      <c r="B2" s="26" t="str">
        <f>'Perfil do Investidor'!I5</f>
        <v/>
      </c>
      <c r="D2" s="49" t="s">
        <v>59</v>
      </c>
      <c r="E2" s="50"/>
      <c r="F2" s="50"/>
      <c r="G2" s="50"/>
      <c r="H2" s="51"/>
      <c r="J2" s="70" t="s">
        <v>48</v>
      </c>
      <c r="L2" s="71" t="s">
        <v>114</v>
      </c>
    </row>
    <row r="4" spans="2:31" ht="18.5" x14ac:dyDescent="0.45">
      <c r="C4" s="5" t="s">
        <v>60</v>
      </c>
      <c r="AA4" s="1" t="s">
        <v>18</v>
      </c>
      <c r="AE4" s="1" t="s">
        <v>18</v>
      </c>
    </row>
    <row r="5" spans="2:31" x14ac:dyDescent="0.35">
      <c r="AA5" s="1" t="s">
        <v>61</v>
      </c>
      <c r="AE5" s="1" t="s">
        <v>68</v>
      </c>
    </row>
    <row r="6" spans="2:31" ht="18.5" x14ac:dyDescent="0.45">
      <c r="C6" s="24" t="s">
        <v>66</v>
      </c>
      <c r="AA6" s="1" t="s">
        <v>62</v>
      </c>
      <c r="AE6" s="1" t="s">
        <v>69</v>
      </c>
    </row>
    <row r="7" spans="2:31" x14ac:dyDescent="0.35">
      <c r="C7"/>
      <c r="AA7" s="1" t="s">
        <v>63</v>
      </c>
      <c r="AE7" s="1" t="s">
        <v>70</v>
      </c>
    </row>
    <row r="8" spans="2:31" ht="18.5" x14ac:dyDescent="0.45">
      <c r="D8" s="5" t="s">
        <v>65</v>
      </c>
      <c r="G8" s="69" t="s">
        <v>18</v>
      </c>
      <c r="AA8" s="1" t="s">
        <v>64</v>
      </c>
    </row>
    <row r="9" spans="2:31" ht="19" thickBot="1" x14ac:dyDescent="0.5">
      <c r="D9" s="5"/>
    </row>
    <row r="10" spans="2:31" ht="19" thickBot="1" x14ac:dyDescent="0.5">
      <c r="D10" s="24" t="str">
        <f>IF(G8="Alcançar um patrimônio específico","Qual patrimônio você deseja alcançar?",IF(G8="Gerar renda mensal","Qual renda mensal você gostaria de alcançar?",IF(G8="Complementar minha renda futura","Qual renda mensal complementar você gostaria de obter?","")))</f>
        <v/>
      </c>
      <c r="H10" s="75"/>
    </row>
    <row r="11" spans="2:31" ht="18.5" x14ac:dyDescent="0.45">
      <c r="C11" s="24" t="s">
        <v>67</v>
      </c>
      <c r="AA11" s="1" t="s">
        <v>18</v>
      </c>
    </row>
    <row r="12" spans="2:31" x14ac:dyDescent="0.35">
      <c r="AA12" s="10" t="s">
        <v>75</v>
      </c>
    </row>
    <row r="13" spans="2:31" ht="18.5" x14ac:dyDescent="0.45">
      <c r="C13" s="4"/>
      <c r="D13" s="5" t="s">
        <v>65</v>
      </c>
      <c r="G13" s="76" t="s">
        <v>18</v>
      </c>
      <c r="AA13" s="10" t="s">
        <v>76</v>
      </c>
    </row>
    <row r="14" spans="2:31" x14ac:dyDescent="0.35">
      <c r="C14" s="23"/>
      <c r="AA14" s="10" t="s">
        <v>77</v>
      </c>
    </row>
    <row r="15" spans="2:31" ht="18.5" x14ac:dyDescent="0.45">
      <c r="C15" s="24" t="s">
        <v>71</v>
      </c>
      <c r="AA15" s="10" t="s">
        <v>78</v>
      </c>
    </row>
    <row r="16" spans="2:31" x14ac:dyDescent="0.35">
      <c r="AA16" s="10" t="s">
        <v>79</v>
      </c>
    </row>
    <row r="17" spans="3:27" ht="18.5" x14ac:dyDescent="0.45">
      <c r="C17" s="4"/>
      <c r="D17" s="5" t="s">
        <v>72</v>
      </c>
      <c r="G17" s="77"/>
      <c r="AA17" s="10" t="s">
        <v>80</v>
      </c>
    </row>
    <row r="18" spans="3:27" x14ac:dyDescent="0.35">
      <c r="C18" s="23"/>
      <c r="AA18" s="10" t="s">
        <v>81</v>
      </c>
    </row>
    <row r="19" spans="3:27" ht="18.5" x14ac:dyDescent="0.45">
      <c r="C19" s="24" t="s">
        <v>73</v>
      </c>
    </row>
    <row r="21" spans="3:27" ht="18.5" x14ac:dyDescent="0.45">
      <c r="C21" s="4"/>
      <c r="D21" s="5" t="s">
        <v>72</v>
      </c>
      <c r="G21" s="77"/>
    </row>
    <row r="23" spans="3:27" ht="18.5" x14ac:dyDescent="0.45">
      <c r="C23" s="24" t="s">
        <v>74</v>
      </c>
    </row>
    <row r="25" spans="3:27" ht="18.5" x14ac:dyDescent="0.45">
      <c r="D25" s="5" t="s">
        <v>65</v>
      </c>
      <c r="G25" s="78" t="s">
        <v>18</v>
      </c>
    </row>
  </sheetData>
  <sheetProtection sheet="1" objects="1" scenarios="1" selectLockedCells="1"/>
  <mergeCells count="1">
    <mergeCell ref="D2:H2"/>
  </mergeCells>
  <dataValidations count="3">
    <dataValidation type="list" allowBlank="1" showInputMessage="1" showErrorMessage="1" sqref="G8:G10">
      <formula1>$AA$4:$AA$8</formula1>
    </dataValidation>
    <dataValidation type="list" allowBlank="1" showInputMessage="1" showErrorMessage="1" sqref="G13">
      <formula1>$AE$4:$AE$7</formula1>
    </dataValidation>
    <dataValidation type="list" allowBlank="1" showInputMessage="1" showErrorMessage="1" sqref="G25">
      <formula1>$AA$11:$AA$18</formula1>
    </dataValidation>
  </dataValidations>
  <hyperlinks>
    <hyperlink ref="J2" location="'Premissas da Simulação'!A1" display="CONTINUAR"/>
    <hyperlink ref="L2" location="'Perfil do Investidor'!A1" display="Voltar para página anterior"/>
  </hyperlinks>
  <pageMargins left="0.511811024" right="0.511811024" top="0.78740157499999996" bottom="0.78740157499999996" header="0.31496062000000002" footer="0.31496062000000002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D13"/>
  <sheetViews>
    <sheetView workbookViewId="0">
      <selection activeCell="M2" sqref="M2"/>
    </sheetView>
  </sheetViews>
  <sheetFormatPr defaultRowHeight="14.5" x14ac:dyDescent="0.35"/>
  <cols>
    <col min="1" max="1" width="7" style="1" customWidth="1"/>
    <col min="2" max="2" width="13.7265625" style="1" customWidth="1"/>
    <col min="3" max="5" width="8.7265625" style="1"/>
    <col min="6" max="6" width="16.26953125" style="1" customWidth="1"/>
    <col min="7" max="7" width="14.90625" style="1" customWidth="1"/>
    <col min="8" max="11" width="8.7265625" style="1"/>
    <col min="12" max="12" width="6.90625" style="1" customWidth="1"/>
    <col min="13" max="13" width="11.81640625" style="1" customWidth="1"/>
    <col min="14" max="14" width="5.90625" style="1" customWidth="1"/>
    <col min="15" max="15" width="14.36328125" style="1" customWidth="1"/>
    <col min="16" max="26" width="8.7265625" style="1"/>
    <col min="27" max="27" width="12.36328125" style="1" customWidth="1"/>
    <col min="28" max="28" width="19.1796875" style="1" customWidth="1"/>
    <col min="29" max="29" width="7.7265625" style="1" bestFit="1" customWidth="1"/>
    <col min="30" max="16384" width="8.7265625" style="1"/>
  </cols>
  <sheetData>
    <row r="1" spans="2:30" ht="29.5" thickBot="1" x14ac:dyDescent="0.4">
      <c r="AA1" s="21" t="s">
        <v>85</v>
      </c>
      <c r="AB1" s="17" t="s">
        <v>86</v>
      </c>
      <c r="AC1" s="17" t="s">
        <v>87</v>
      </c>
    </row>
    <row r="2" spans="2:30" ht="29.5" thickBot="1" x14ac:dyDescent="0.4">
      <c r="B2" s="26" t="str">
        <f>'Objetivo do Investimento'!B2</f>
        <v/>
      </c>
      <c r="D2" s="49" t="s">
        <v>82</v>
      </c>
      <c r="E2" s="50"/>
      <c r="F2" s="50"/>
      <c r="G2" s="50"/>
      <c r="H2" s="51"/>
      <c r="M2" s="70" t="s">
        <v>48</v>
      </c>
      <c r="O2" s="71" t="s">
        <v>114</v>
      </c>
      <c r="AA2" s="20" t="s">
        <v>50</v>
      </c>
      <c r="AB2" s="30">
        <v>6.0000000000000001E-3</v>
      </c>
      <c r="AC2" s="30">
        <v>6.0000000000000001E-3</v>
      </c>
    </row>
    <row r="3" spans="2:30" x14ac:dyDescent="0.35">
      <c r="AA3" s="20" t="s">
        <v>51</v>
      </c>
      <c r="AB3" s="30">
        <v>8.0000000000000002E-3</v>
      </c>
      <c r="AC3" s="30">
        <v>8.0000000000000002E-3</v>
      </c>
      <c r="AD3" s="7"/>
    </row>
    <row r="4" spans="2:30" x14ac:dyDescent="0.35">
      <c r="AA4" s="20" t="s">
        <v>52</v>
      </c>
      <c r="AB4" s="30">
        <v>0.01</v>
      </c>
      <c r="AC4" s="30">
        <v>0.01</v>
      </c>
      <c r="AD4" s="7"/>
    </row>
    <row r="5" spans="2:30" ht="18.5" x14ac:dyDescent="0.45">
      <c r="C5" s="31" t="s">
        <v>88</v>
      </c>
      <c r="AD5" s="7"/>
    </row>
    <row r="8" spans="2:30" ht="21" x14ac:dyDescent="0.5">
      <c r="C8" s="32" t="s">
        <v>83</v>
      </c>
      <c r="G8" s="33">
        <f>IFERROR(VLOOKUP(B2,$AA$2:$AC$4,2,FALSE),0)</f>
        <v>0</v>
      </c>
      <c r="M8" s="94"/>
    </row>
    <row r="11" spans="2:30" ht="21" x14ac:dyDescent="0.5">
      <c r="C11" s="32" t="s">
        <v>84</v>
      </c>
      <c r="G11" s="33">
        <f>IFERROR(VLOOKUP(B2,$AA$2:$AC$4,3,FALSE),0)</f>
        <v>0</v>
      </c>
      <c r="N11" s="68"/>
    </row>
    <row r="12" spans="2:30" x14ac:dyDescent="0.35">
      <c r="J12" s="68"/>
    </row>
    <row r="13" spans="2:30" x14ac:dyDescent="0.35">
      <c r="M13" s="68"/>
    </row>
  </sheetData>
  <sheetProtection selectLockedCells="1"/>
  <mergeCells count="1">
    <mergeCell ref="D2:H2"/>
  </mergeCells>
  <hyperlinks>
    <hyperlink ref="M2" location="'Carteira sugerida'!A1" display="CONTINUAR"/>
    <hyperlink ref="O2" location="'Objetivo do Investimento'!A1" display="Voltar para página anterior"/>
  </hyperlinks>
  <pageMargins left="0.511811024" right="0.511811024" top="0.78740157499999996" bottom="0.78740157499999996" header="0.31496062000000002" footer="0.31496062000000002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D12"/>
  <sheetViews>
    <sheetView workbookViewId="0">
      <selection activeCell="L2" sqref="L2"/>
    </sheetView>
  </sheetViews>
  <sheetFormatPr defaultRowHeight="14.5" x14ac:dyDescent="0.35"/>
  <cols>
    <col min="1" max="1" width="6.36328125" style="1" customWidth="1"/>
    <col min="2" max="2" width="14.54296875" style="1" customWidth="1"/>
    <col min="3" max="3" width="29.26953125" style="1" customWidth="1"/>
    <col min="4" max="4" width="19.54296875" style="1" customWidth="1"/>
    <col min="5" max="11" width="8.7265625" style="1"/>
    <col min="12" max="12" width="12" style="1" customWidth="1"/>
    <col min="13" max="26" width="8.7265625" style="1"/>
    <col min="27" max="27" width="19.54296875" style="1" customWidth="1"/>
    <col min="28" max="28" width="14" style="1" customWidth="1"/>
    <col min="29" max="29" width="11.54296875" style="1" customWidth="1"/>
    <col min="30" max="16384" width="8.7265625" style="1"/>
  </cols>
  <sheetData>
    <row r="1" spans="2:30" ht="15" thickBot="1" x14ac:dyDescent="0.4"/>
    <row r="2" spans="2:30" ht="26.5" thickBot="1" x14ac:dyDescent="0.65">
      <c r="B2" s="26" t="str">
        <f>'Premissas da Simulação'!B2</f>
        <v/>
      </c>
      <c r="D2" s="27" t="s">
        <v>89</v>
      </c>
      <c r="E2" s="28"/>
      <c r="F2" s="28"/>
      <c r="G2" s="28"/>
      <c r="H2" s="29"/>
      <c r="L2" s="70" t="s">
        <v>48</v>
      </c>
    </row>
    <row r="3" spans="2:30" x14ac:dyDescent="0.35">
      <c r="AA3" s="17"/>
      <c r="AB3" s="17"/>
      <c r="AC3" s="17"/>
      <c r="AD3" s="19"/>
    </row>
    <row r="4" spans="2:30" x14ac:dyDescent="0.35">
      <c r="AA4" s="16"/>
      <c r="AB4" s="16"/>
      <c r="AC4" s="16"/>
      <c r="AD4" s="16"/>
    </row>
    <row r="5" spans="2:30" ht="42" customHeight="1" x14ac:dyDescent="0.35">
      <c r="C5" s="36" t="s">
        <v>49</v>
      </c>
      <c r="D5" s="36" t="s">
        <v>90</v>
      </c>
      <c r="L5" s="71" t="s">
        <v>114</v>
      </c>
      <c r="AA5" s="41"/>
      <c r="AB5" s="16"/>
      <c r="AC5" s="16"/>
      <c r="AD5" s="34"/>
    </row>
    <row r="6" spans="2:30" ht="21" x14ac:dyDescent="0.35">
      <c r="C6" s="37" t="s">
        <v>91</v>
      </c>
      <c r="D6" s="38">
        <f>IFERROR(INDEX(Variáveis!$B$2:$D$7,MATCH(C6,Variáveis!$A$2:$A$7,0),MATCH($B$2,Variáveis!$B$1:$D$1,0)),0)</f>
        <v>0</v>
      </c>
      <c r="K6" s="68"/>
      <c r="AA6" s="41"/>
      <c r="AB6" s="20"/>
      <c r="AC6" s="20"/>
      <c r="AD6" s="18"/>
    </row>
    <row r="7" spans="2:30" ht="21" x14ac:dyDescent="0.35">
      <c r="C7" s="37" t="s">
        <v>92</v>
      </c>
      <c r="D7" s="38">
        <f>IFERROR(INDEX(Variáveis!$B$2:$D$7,MATCH(C7,Variáveis!$A$2:$A$7,0),MATCH($B$2,Variáveis!$B$1:$D$1,0)),0)</f>
        <v>0</v>
      </c>
      <c r="AA7" s="41"/>
    </row>
    <row r="8" spans="2:30" ht="21" x14ac:dyDescent="0.35">
      <c r="C8" s="37" t="s">
        <v>93</v>
      </c>
      <c r="D8" s="38">
        <f>IFERROR(INDEX(Variáveis!$B$2:$D$7,MATCH(C8,Variáveis!$A$2:$A$7,0),MATCH($B$2,Variáveis!$B$1:$D$1,0)),0)</f>
        <v>0</v>
      </c>
      <c r="AA8" s="41"/>
    </row>
    <row r="9" spans="2:30" ht="21" x14ac:dyDescent="0.35">
      <c r="C9" s="37" t="s">
        <v>56</v>
      </c>
      <c r="D9" s="38">
        <f>IFERROR(INDEX(Variáveis!$B$2:$D$7,MATCH(C9,Variáveis!$A$2:$A$7,0),MATCH($B$2,Variáveis!$B$1:$D$1,0)),0)</f>
        <v>0</v>
      </c>
      <c r="I9" s="68"/>
      <c r="AA9" s="41"/>
    </row>
    <row r="10" spans="2:30" ht="21" x14ac:dyDescent="0.35">
      <c r="C10" s="37" t="s">
        <v>94</v>
      </c>
      <c r="D10" s="38">
        <f>IFERROR(INDEX(Variáveis!$B$2:$D$7,MATCH(C10,Variáveis!$A$2:$A$7,0),MATCH($B$2,Variáveis!$B$1:$D$1,0)),0)</f>
        <v>0</v>
      </c>
      <c r="AA10" s="41"/>
    </row>
    <row r="11" spans="2:30" ht="21" x14ac:dyDescent="0.35">
      <c r="C11" s="37" t="s">
        <v>95</v>
      </c>
      <c r="D11" s="38">
        <f>IFERROR(INDEX(Variáveis!$B$2:$D$7,MATCH(C11,Variáveis!$A$2:$A$7,0),MATCH($B$2,Variáveis!$B$1:$D$1,0)),0)</f>
        <v>0</v>
      </c>
      <c r="AA11" s="16"/>
    </row>
    <row r="12" spans="2:30" ht="21" x14ac:dyDescent="0.35">
      <c r="C12" s="39" t="s">
        <v>46</v>
      </c>
      <c r="D12" s="40">
        <f>SUM(D6:D11)</f>
        <v>0</v>
      </c>
    </row>
  </sheetData>
  <sheetProtection sheet="1" objects="1" scenarios="1" selectLockedCells="1"/>
  <mergeCells count="1">
    <mergeCell ref="D2:H2"/>
  </mergeCells>
  <hyperlinks>
    <hyperlink ref="L2" location="Simulação!A1" display="CONTINUAR"/>
    <hyperlink ref="L5" location="'Premissas da Simulação'!A1" display="Voltar para página anterior"/>
  </hyperlinks>
  <pageMargins left="0.511811024" right="0.511811024" top="0.78740157499999996" bottom="0.78740157499999996" header="0.31496062000000002" footer="0.31496062000000002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K17"/>
  <sheetViews>
    <sheetView workbookViewId="0">
      <selection activeCell="K2" sqref="K2"/>
    </sheetView>
  </sheetViews>
  <sheetFormatPr defaultRowHeight="14.5" x14ac:dyDescent="0.35"/>
  <cols>
    <col min="1" max="1" width="3.6328125" style="1" customWidth="1"/>
    <col min="2" max="2" width="8.7265625" style="1" customWidth="1"/>
    <col min="3" max="3" width="27" style="1" customWidth="1"/>
    <col min="4" max="4" width="16.90625" style="1" customWidth="1"/>
    <col min="5" max="5" width="29.81640625" style="1" customWidth="1"/>
    <col min="6" max="6" width="8.7265625" style="1"/>
    <col min="7" max="7" width="24.54296875" style="1" customWidth="1"/>
    <col min="8" max="9" width="8.7265625" style="1"/>
    <col min="10" max="10" width="3.54296875" style="1" customWidth="1"/>
    <col min="11" max="11" width="18.90625" style="1" customWidth="1"/>
    <col min="12" max="16384" width="8.7265625" style="1"/>
  </cols>
  <sheetData>
    <row r="1" spans="2:11" ht="4.5" customHeight="1" thickBot="1" x14ac:dyDescent="0.4"/>
    <row r="2" spans="2:11" ht="26.5" thickBot="1" x14ac:dyDescent="0.4">
      <c r="D2" s="49" t="s">
        <v>96</v>
      </c>
      <c r="E2" s="50"/>
      <c r="F2" s="50"/>
      <c r="G2" s="50"/>
      <c r="H2" s="51"/>
      <c r="K2" s="70" t="s">
        <v>48</v>
      </c>
    </row>
    <row r="3" spans="2:11" ht="18.5" x14ac:dyDescent="0.45">
      <c r="C3" s="24" t="s">
        <v>97</v>
      </c>
    </row>
    <row r="5" spans="2:11" ht="29" x14ac:dyDescent="0.5">
      <c r="C5" s="6" t="s">
        <v>98</v>
      </c>
      <c r="H5" s="68"/>
      <c r="K5" s="71" t="s">
        <v>114</v>
      </c>
    </row>
    <row r="6" spans="2:11" ht="21" x14ac:dyDescent="0.5">
      <c r="C6" s="42" t="s">
        <v>99</v>
      </c>
      <c r="E6" s="82">
        <f>'Objetivo do Investimento'!G17</f>
        <v>0</v>
      </c>
    </row>
    <row r="7" spans="2:11" ht="21" x14ac:dyDescent="0.5">
      <c r="C7" s="42" t="s">
        <v>100</v>
      </c>
      <c r="E7" s="48">
        <f>'Objetivo do Investimento'!G21</f>
        <v>0</v>
      </c>
    </row>
    <row r="8" spans="2:11" ht="21" x14ac:dyDescent="0.5">
      <c r="C8" s="42" t="s">
        <v>101</v>
      </c>
      <c r="E8" s="25" t="str">
        <f>'Objetivo do Investimento'!G25</f>
        <v>ESCOLHA</v>
      </c>
    </row>
    <row r="9" spans="2:11" ht="21" x14ac:dyDescent="0.5">
      <c r="C9" s="42" t="s">
        <v>102</v>
      </c>
      <c r="E9" s="15" t="str">
        <f>'Objetivo do Investimento'!G8</f>
        <v>ESCOLHA</v>
      </c>
    </row>
    <row r="10" spans="2:11" ht="21" x14ac:dyDescent="0.5">
      <c r="C10" s="42" t="s">
        <v>103</v>
      </c>
      <c r="E10" s="48">
        <f>'Objetivo do Investimento'!H10</f>
        <v>0</v>
      </c>
    </row>
    <row r="12" spans="2:11" ht="21" x14ac:dyDescent="0.35">
      <c r="B12" s="46" t="s">
        <v>104</v>
      </c>
      <c r="C12" s="22"/>
      <c r="D12" s="11"/>
      <c r="E12" s="45" t="str">
        <f>IF(OR(E6=0,E7=0,E8="ESCOLHA",E9="ESCOLHA"),"",IFERROR(FV('Premissas da Simulação'!G8,VALUE(LEFT(E8,FIND(" ",E8)-1))*12,-E7,-E6),""))</f>
        <v/>
      </c>
    </row>
    <row r="13" spans="2:11" ht="21" x14ac:dyDescent="0.35">
      <c r="B13" s="47" t="s">
        <v>105</v>
      </c>
      <c r="C13" s="47"/>
      <c r="D13" s="47"/>
      <c r="E13" s="45" t="str">
        <f>IF(OR(E6=0,E7=0,E8="ESCOLHA"),"",E6+(E7*VALUE(LEFT(E8,FIND(" ",E8)-1))*12))</f>
        <v/>
      </c>
    </row>
    <row r="14" spans="2:11" ht="21" x14ac:dyDescent="0.35">
      <c r="B14" s="47" t="s">
        <v>106</v>
      </c>
      <c r="C14" s="47"/>
      <c r="D14" s="47"/>
      <c r="E14" s="45" t="str">
        <f>IF(OR(E12="",E13=""),"",E12-E13)</f>
        <v/>
      </c>
    </row>
    <row r="15" spans="2:11" ht="21" x14ac:dyDescent="0.35">
      <c r="B15" s="47" t="s">
        <v>107</v>
      </c>
      <c r="C15" s="47"/>
      <c r="D15" s="47"/>
      <c r="E15" s="45" t="str">
        <f>IF(E12="","",E12*'Premissas da Simulação'!G11)</f>
        <v/>
      </c>
    </row>
    <row r="16" spans="2:11" ht="21" x14ac:dyDescent="0.35">
      <c r="B16" s="47" t="s">
        <v>108</v>
      </c>
      <c r="C16" s="47"/>
      <c r="D16" s="47"/>
      <c r="E16" s="45">
        <f>'Objetivo do Investimento'!H10</f>
        <v>0</v>
      </c>
    </row>
    <row r="17" spans="2:5" ht="21" x14ac:dyDescent="0.35">
      <c r="B17" s="47" t="s">
        <v>109</v>
      </c>
      <c r="C17" s="47"/>
      <c r="D17" s="47"/>
      <c r="E17" s="45" t="str">
        <f>IF(OR(E9="",E9="ESCOLHA"),"",IF(E9="Alcançar um patrimônio específico",IF(E12&gt;=E16,"SIM","NÃO"),IF(E9="Formar patrimônio","NÃO SE APLICA",IF(E15&gt;=E16,"SIM","NÃO"))))</f>
        <v/>
      </c>
    </row>
  </sheetData>
  <sheetProtection sheet="1" objects="1" scenarios="1" selectLockedCells="1"/>
  <mergeCells count="6">
    <mergeCell ref="D2:H2"/>
    <mergeCell ref="B13:D13"/>
    <mergeCell ref="B14:D14"/>
    <mergeCell ref="B15:D15"/>
    <mergeCell ref="B16:D16"/>
    <mergeCell ref="B17:D17"/>
  </mergeCells>
  <hyperlinks>
    <hyperlink ref="K2" location="Resultado!A1" display="CONTINUAR"/>
    <hyperlink ref="K5" location="'Carteira sugerida'!A1" display="Voltar para página anterior"/>
  </hyperlinks>
  <pageMargins left="0.511811024" right="0.511811024" top="0.78740157499999996" bottom="0.78740157499999996" header="0.31496062000000002" footer="0.31496062000000002"/>
  <pageSetup paperSize="9" orientation="portrait" horizontalDpi="0" verticalDpi="0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L14"/>
  <sheetViews>
    <sheetView workbookViewId="0">
      <selection activeCell="L3" sqref="L3"/>
    </sheetView>
  </sheetViews>
  <sheetFormatPr defaultRowHeight="14.5" x14ac:dyDescent="0.35"/>
  <cols>
    <col min="1" max="1" width="12.1796875" style="1" customWidth="1"/>
    <col min="2" max="3" width="8.7265625" style="1"/>
    <col min="4" max="4" width="37.54296875" style="1" customWidth="1"/>
    <col min="5" max="5" width="20.36328125" style="1" bestFit="1" customWidth="1"/>
    <col min="6" max="9" width="8.7265625" style="1"/>
    <col min="10" max="10" width="10.08984375" style="1" customWidth="1"/>
    <col min="11" max="11" width="3.26953125" style="1" customWidth="1"/>
    <col min="12" max="12" width="16.08984375" style="1" customWidth="1"/>
    <col min="13" max="16384" width="8.7265625" style="1"/>
  </cols>
  <sheetData>
    <row r="2" spans="2:12" ht="15" thickBot="1" x14ac:dyDescent="0.4"/>
    <row r="3" spans="2:12" ht="26.5" thickBot="1" x14ac:dyDescent="0.4">
      <c r="B3" s="52" t="s">
        <v>112</v>
      </c>
      <c r="C3" s="53"/>
      <c r="D3" s="53"/>
      <c r="E3" s="53"/>
      <c r="F3" s="53"/>
      <c r="G3" s="53"/>
      <c r="H3" s="54"/>
      <c r="L3" s="80" t="s">
        <v>113</v>
      </c>
    </row>
    <row r="5" spans="2:12" ht="15.5" x14ac:dyDescent="0.35">
      <c r="D5" s="26" t="str">
        <f>'Premissas da Simulação'!B2</f>
        <v/>
      </c>
    </row>
    <row r="6" spans="2:12" ht="30.5" x14ac:dyDescent="0.5">
      <c r="B6" s="32" t="s">
        <v>110</v>
      </c>
      <c r="L6" s="79" t="s">
        <v>114</v>
      </c>
    </row>
    <row r="9" spans="2:12" ht="21" x14ac:dyDescent="0.5">
      <c r="B9" s="46" t="s">
        <v>104</v>
      </c>
      <c r="C9" s="22"/>
      <c r="D9" s="11"/>
      <c r="E9" s="55" t="str">
        <f>Simulação!E12</f>
        <v/>
      </c>
      <c r="L9" s="90" t="s">
        <v>123</v>
      </c>
    </row>
    <row r="10" spans="2:12" ht="21" x14ac:dyDescent="0.5">
      <c r="B10" s="47" t="s">
        <v>105</v>
      </c>
      <c r="C10" s="47"/>
      <c r="D10" s="47"/>
      <c r="E10" s="55" t="str">
        <f>Simulação!E13</f>
        <v/>
      </c>
    </row>
    <row r="11" spans="2:12" ht="21" x14ac:dyDescent="0.5">
      <c r="B11" s="47" t="s">
        <v>106</v>
      </c>
      <c r="C11" s="47"/>
      <c r="D11" s="47"/>
      <c r="E11" s="55" t="str">
        <f>Simulação!E14</f>
        <v/>
      </c>
    </row>
    <row r="12" spans="2:12" ht="21" x14ac:dyDescent="0.5">
      <c r="B12" s="47" t="s">
        <v>107</v>
      </c>
      <c r="C12" s="47"/>
      <c r="D12" s="47"/>
      <c r="E12" s="55" t="str">
        <f>Simulação!E15</f>
        <v/>
      </c>
    </row>
    <row r="13" spans="2:12" ht="21" x14ac:dyDescent="0.5">
      <c r="B13" s="47" t="s">
        <v>108</v>
      </c>
      <c r="C13" s="47"/>
      <c r="D13" s="47"/>
      <c r="E13" s="56">
        <f>Simulação!E16</f>
        <v>0</v>
      </c>
    </row>
    <row r="14" spans="2:12" ht="21" x14ac:dyDescent="0.5">
      <c r="B14" s="47" t="s">
        <v>109</v>
      </c>
      <c r="C14" s="47"/>
      <c r="D14" s="47"/>
      <c r="E14" s="56" t="str">
        <f>Simulação!E17</f>
        <v/>
      </c>
    </row>
  </sheetData>
  <sheetProtection selectLockedCells="1"/>
  <mergeCells count="6">
    <mergeCell ref="B12:D12"/>
    <mergeCell ref="B13:D13"/>
    <mergeCell ref="B14:D14"/>
    <mergeCell ref="B3:H3"/>
    <mergeCell ref="B10:D10"/>
    <mergeCell ref="B11:D11"/>
  </mergeCells>
  <hyperlinks>
    <hyperlink ref="L3" location="Rosto!A1" display="Voltar para o inicio"/>
    <hyperlink ref="L6" location="Simulação!A1" display="Voltar para página anterior"/>
    <hyperlink ref="L9" location="Imprimir!A1" display="Imprimir"/>
  </hyperlinks>
  <pageMargins left="0.511811024" right="0.511811024" top="0.78740157499999996" bottom="0.78740157499999996" header="0.31496062000000002" footer="0.31496062000000002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O41"/>
  <sheetViews>
    <sheetView workbookViewId="0">
      <selection activeCell="K3" sqref="K3:K4"/>
    </sheetView>
  </sheetViews>
  <sheetFormatPr defaultRowHeight="14.5" x14ac:dyDescent="0.35"/>
  <cols>
    <col min="1" max="1" width="8.7265625" style="1" customWidth="1"/>
    <col min="2" max="2" width="28.81640625" style="1" customWidth="1"/>
    <col min="3" max="3" width="14.54296875" style="1" customWidth="1"/>
    <col min="4" max="8" width="8.7265625" style="1"/>
    <col min="9" max="9" width="6.08984375" style="1" customWidth="1"/>
    <col min="10" max="10" width="4.36328125" style="1" customWidth="1"/>
    <col min="11" max="11" width="23" style="1" customWidth="1"/>
    <col min="12" max="16384" width="8.7265625" style="1"/>
  </cols>
  <sheetData>
    <row r="2" spans="2:15" ht="14.5" customHeight="1" x14ac:dyDescent="0.35">
      <c r="B2" s="81" t="s">
        <v>115</v>
      </c>
      <c r="C2" s="81"/>
      <c r="D2" s="81"/>
      <c r="E2" s="81"/>
      <c r="F2" s="81"/>
      <c r="G2" s="81"/>
      <c r="H2" s="81"/>
    </row>
    <row r="3" spans="2:15" ht="14.5" customHeight="1" x14ac:dyDescent="0.35">
      <c r="B3" s="81"/>
      <c r="C3" s="81"/>
      <c r="D3" s="81"/>
      <c r="E3" s="81"/>
      <c r="F3" s="81"/>
      <c r="G3" s="81"/>
      <c r="H3" s="81"/>
      <c r="K3" s="89" t="s">
        <v>124</v>
      </c>
    </row>
    <row r="4" spans="2:15" x14ac:dyDescent="0.35">
      <c r="K4" s="89"/>
    </row>
    <row r="5" spans="2:15" ht="18.5" x14ac:dyDescent="0.45">
      <c r="B5" s="87" t="s">
        <v>116</v>
      </c>
    </row>
    <row r="7" spans="2:15" x14ac:dyDescent="0.35">
      <c r="B7" s="1" t="s">
        <v>117</v>
      </c>
      <c r="C7" s="1" t="str">
        <f>'Perfil do Investidor'!I5</f>
        <v/>
      </c>
      <c r="K7" s="91" t="s">
        <v>125</v>
      </c>
    </row>
    <row r="8" spans="2:15" x14ac:dyDescent="0.35">
      <c r="B8" t="s">
        <v>102</v>
      </c>
      <c r="C8" s="1" t="str">
        <f>'Objetivo do Investimento'!G8</f>
        <v>ESCOLHA</v>
      </c>
      <c r="K8" s="91"/>
    </row>
    <row r="10" spans="2:15" ht="18.5" x14ac:dyDescent="0.45">
      <c r="B10" s="88" t="s">
        <v>82</v>
      </c>
      <c r="I10" s="93" t="s">
        <v>126</v>
      </c>
      <c r="J10" s="93"/>
      <c r="K10" s="93"/>
      <c r="L10" s="93"/>
      <c r="M10" s="93"/>
      <c r="N10" s="93"/>
      <c r="O10" s="93"/>
    </row>
    <row r="12" spans="2:15" x14ac:dyDescent="0.35">
      <c r="B12" s="1" t="s">
        <v>99</v>
      </c>
      <c r="C12" s="43">
        <f>Simulação!E6</f>
        <v>0</v>
      </c>
    </row>
    <row r="13" spans="2:15" x14ac:dyDescent="0.35">
      <c r="B13" s="1" t="s">
        <v>100</v>
      </c>
      <c r="C13" s="44">
        <f>Simulação!E7</f>
        <v>0</v>
      </c>
    </row>
    <row r="14" spans="2:15" x14ac:dyDescent="0.35">
      <c r="B14" s="1" t="s">
        <v>118</v>
      </c>
      <c r="C14" s="7" t="str">
        <f>Simulação!E8</f>
        <v>ESCOLHA</v>
      </c>
    </row>
    <row r="15" spans="2:15" x14ac:dyDescent="0.35">
      <c r="B15" s="1" t="s">
        <v>119</v>
      </c>
      <c r="C15" s="83">
        <f>'Premissas da Simulação'!G8</f>
        <v>0</v>
      </c>
    </row>
    <row r="16" spans="2:15" x14ac:dyDescent="0.35">
      <c r="B16" s="1" t="s">
        <v>120</v>
      </c>
      <c r="C16" s="83">
        <f>'Premissas da Simulação'!G11</f>
        <v>0</v>
      </c>
    </row>
    <row r="20" spans="2:3" x14ac:dyDescent="0.35">
      <c r="B20" s="1" t="s">
        <v>91</v>
      </c>
      <c r="C20" s="84">
        <f>'Carteira sugerida'!D6</f>
        <v>0</v>
      </c>
    </row>
    <row r="21" spans="2:3" x14ac:dyDescent="0.35">
      <c r="B21" s="1" t="s">
        <v>92</v>
      </c>
      <c r="C21" s="84">
        <f>'Carteira sugerida'!D7</f>
        <v>0</v>
      </c>
    </row>
    <row r="22" spans="2:3" x14ac:dyDescent="0.35">
      <c r="B22" s="1" t="s">
        <v>93</v>
      </c>
      <c r="C22" s="84">
        <f>'Carteira sugerida'!D8</f>
        <v>0</v>
      </c>
    </row>
    <row r="23" spans="2:3" x14ac:dyDescent="0.35">
      <c r="B23" s="1" t="s">
        <v>56</v>
      </c>
      <c r="C23" s="84">
        <f>'Carteira sugerida'!D9</f>
        <v>0</v>
      </c>
    </row>
    <row r="24" spans="2:3" x14ac:dyDescent="0.35">
      <c r="B24" s="1" t="s">
        <v>94</v>
      </c>
      <c r="C24" s="84">
        <f>'Carteira sugerida'!D10</f>
        <v>0</v>
      </c>
    </row>
    <row r="25" spans="2:3" x14ac:dyDescent="0.35">
      <c r="B25" s="1" t="s">
        <v>95</v>
      </c>
      <c r="C25" s="84">
        <f>'Carteira sugerida'!D11</f>
        <v>0</v>
      </c>
    </row>
    <row r="26" spans="2:3" x14ac:dyDescent="0.35">
      <c r="B26" s="1" t="s">
        <v>46</v>
      </c>
      <c r="C26" s="84">
        <f>'Carteira sugerida'!D12</f>
        <v>0</v>
      </c>
    </row>
    <row r="30" spans="2:3" x14ac:dyDescent="0.35">
      <c r="B30" s="1" t="s">
        <v>111</v>
      </c>
      <c r="C30" s="44" t="str">
        <f>Simulação!E12</f>
        <v/>
      </c>
    </row>
    <row r="31" spans="2:3" x14ac:dyDescent="0.35">
      <c r="B31" s="1" t="s">
        <v>105</v>
      </c>
      <c r="C31" s="44" t="str">
        <f>Simulação!E13</f>
        <v/>
      </c>
    </row>
    <row r="32" spans="2:3" x14ac:dyDescent="0.35">
      <c r="B32" s="1" t="s">
        <v>106</v>
      </c>
      <c r="C32" s="44" t="str">
        <f>Simulação!E14</f>
        <v/>
      </c>
    </row>
    <row r="33" spans="2:8" x14ac:dyDescent="0.35">
      <c r="B33" s="1" t="s">
        <v>107</v>
      </c>
      <c r="C33" s="44" t="str">
        <f>Simulação!E15</f>
        <v/>
      </c>
    </row>
    <row r="34" spans="2:8" x14ac:dyDescent="0.35">
      <c r="B34" s="1" t="s">
        <v>108</v>
      </c>
      <c r="C34" s="44">
        <f>Simulação!E16</f>
        <v>0</v>
      </c>
    </row>
    <row r="35" spans="2:8" x14ac:dyDescent="0.35">
      <c r="B35" s="1" t="s">
        <v>109</v>
      </c>
      <c r="C35" s="44" t="str">
        <f>Simulação!E17</f>
        <v/>
      </c>
    </row>
    <row r="37" spans="2:8" ht="18.5" x14ac:dyDescent="0.35">
      <c r="B37" s="92" t="s">
        <v>121</v>
      </c>
      <c r="C37" s="92"/>
    </row>
    <row r="39" spans="2:8" ht="15.5" x14ac:dyDescent="0.35">
      <c r="B39" s="86" t="str">
        <f>IF(C35="","",IF(C35="SIM","Com base nas premissas utilizadas, a meta financeira informada foi atingida na simulação.","Com base nas premissas utilizadas, a meta financeira informada não foi atingida na simulação."))</f>
        <v/>
      </c>
      <c r="C39" s="22"/>
      <c r="D39" s="22"/>
      <c r="E39" s="22"/>
      <c r="F39" s="22"/>
      <c r="G39" s="22"/>
      <c r="H39" s="22"/>
    </row>
    <row r="41" spans="2:8" ht="100.5" customHeight="1" x14ac:dyDescent="0.35">
      <c r="B41" s="85" t="s">
        <v>122</v>
      </c>
      <c r="C41" s="85"/>
      <c r="D41" s="85"/>
      <c r="E41" s="85"/>
      <c r="F41" s="85"/>
      <c r="G41" s="85"/>
      <c r="H41" s="85"/>
    </row>
  </sheetData>
  <sheetProtection sheet="1" objects="1" scenarios="1" selectLockedCells="1"/>
  <mergeCells count="6">
    <mergeCell ref="B41:H41"/>
    <mergeCell ref="K3:K4"/>
    <mergeCell ref="K7:K8"/>
    <mergeCell ref="B37:C37"/>
    <mergeCell ref="I10:O10"/>
    <mergeCell ref="B2:H3"/>
  </mergeCells>
  <hyperlinks>
    <hyperlink ref="K3" location="'Carteira sugerida'!A1" display="Voltar para página anterior"/>
  </hyperlinks>
  <pageMargins left="0.7" right="0.7" top="0.75" bottom="0.75" header="0.3" footer="0.3"/>
  <pageSetup paperSize="9" orientation="portrait" horizontalDpi="0" verticalDpi="0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"/>
  <sheetViews>
    <sheetView workbookViewId="0">
      <selection activeCell="G10" sqref="G10"/>
    </sheetView>
  </sheetViews>
  <sheetFormatPr defaultRowHeight="14.5" x14ac:dyDescent="0.35"/>
  <cols>
    <col min="1" max="1" width="15.7265625" customWidth="1"/>
    <col min="2" max="2" width="12.26953125" customWidth="1"/>
    <col min="3" max="3" width="11.453125" customWidth="1"/>
    <col min="4" max="4" width="11" customWidth="1"/>
  </cols>
  <sheetData>
    <row r="1" spans="1:4" ht="29" x14ac:dyDescent="0.35">
      <c r="A1" s="17" t="s">
        <v>49</v>
      </c>
      <c r="B1" s="19" t="s">
        <v>50</v>
      </c>
      <c r="C1" s="19" t="s">
        <v>51</v>
      </c>
      <c r="D1" s="19" t="s">
        <v>52</v>
      </c>
    </row>
    <row r="2" spans="1:4" x14ac:dyDescent="0.35">
      <c r="A2" s="21" t="s">
        <v>53</v>
      </c>
      <c r="B2" s="34">
        <v>0.4</v>
      </c>
      <c r="C2" s="34">
        <v>0.3</v>
      </c>
      <c r="D2" s="34">
        <v>0.2</v>
      </c>
    </row>
    <row r="3" spans="1:4" x14ac:dyDescent="0.35">
      <c r="A3" s="21" t="s">
        <v>54</v>
      </c>
      <c r="B3" s="34">
        <v>0.4</v>
      </c>
      <c r="C3" s="34">
        <v>0.35</v>
      </c>
      <c r="D3" s="34">
        <v>0.3</v>
      </c>
    </row>
    <row r="4" spans="1:4" x14ac:dyDescent="0.35">
      <c r="A4" s="21" t="s">
        <v>55</v>
      </c>
      <c r="B4" s="34">
        <v>0.1</v>
      </c>
      <c r="C4" s="34">
        <v>0.1</v>
      </c>
      <c r="D4" s="34">
        <v>0.1</v>
      </c>
    </row>
    <row r="5" spans="1:4" x14ac:dyDescent="0.35">
      <c r="A5" s="21" t="s">
        <v>56</v>
      </c>
      <c r="B5" s="34">
        <v>0.1</v>
      </c>
      <c r="C5" s="34">
        <v>0.1</v>
      </c>
      <c r="D5" s="34">
        <v>0.1</v>
      </c>
    </row>
    <row r="6" spans="1:4" x14ac:dyDescent="0.35">
      <c r="A6" s="21" t="s">
        <v>57</v>
      </c>
      <c r="B6" s="34">
        <v>0</v>
      </c>
      <c r="C6" s="34">
        <v>0.1</v>
      </c>
      <c r="D6" s="34">
        <v>0.2</v>
      </c>
    </row>
    <row r="7" spans="1:4" x14ac:dyDescent="0.35">
      <c r="A7" s="21" t="s">
        <v>58</v>
      </c>
      <c r="B7" s="34">
        <v>0</v>
      </c>
      <c r="C7" s="34">
        <v>0.05</v>
      </c>
      <c r="D7" s="34">
        <v>0.1</v>
      </c>
    </row>
    <row r="8" spans="1:4" x14ac:dyDescent="0.35">
      <c r="A8" s="21" t="s">
        <v>46</v>
      </c>
      <c r="B8" s="35">
        <v>1</v>
      </c>
      <c r="C8" s="35">
        <v>1</v>
      </c>
      <c r="D8" s="35">
        <v>1</v>
      </c>
    </row>
  </sheetData>
  <sheetProtection sheet="1" objects="1" scenarios="1" selectLockedCells="1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9</vt:i4>
      </vt:variant>
      <vt:variant>
        <vt:lpstr>Intervalos nomeados</vt:lpstr>
      </vt:variant>
      <vt:variant>
        <vt:i4>1</vt:i4>
      </vt:variant>
    </vt:vector>
  </HeadingPairs>
  <TitlesOfParts>
    <vt:vector size="10" baseType="lpstr">
      <vt:lpstr>Rosto</vt:lpstr>
      <vt:lpstr>Perfil do Investidor</vt:lpstr>
      <vt:lpstr>Objetivo do Investimento</vt:lpstr>
      <vt:lpstr>Premissas da Simulação</vt:lpstr>
      <vt:lpstr>Carteira sugerida</vt:lpstr>
      <vt:lpstr>Simulação</vt:lpstr>
      <vt:lpstr>Resultado</vt:lpstr>
      <vt:lpstr>Imprimir</vt:lpstr>
      <vt:lpstr>Variáveis</vt:lpstr>
      <vt:lpstr>Imprimir!Area_de_impressao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2026-09-11T01:24:53Z</cp:lastPrinted>
  <dcterms:created xsi:type="dcterms:W3CDTF">2026-09-04T17:14:18Z</dcterms:created>
  <dcterms:modified xsi:type="dcterms:W3CDTF">2026-09-11T01:57:53Z</dcterms:modified>
</cp:coreProperties>
</file>